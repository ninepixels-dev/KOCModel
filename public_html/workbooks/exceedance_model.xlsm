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manja Pavlovic\Projects\KOC Model\public_html\workbooks\"/>
    </mc:Choice>
  </mc:AlternateContent>
  <bookViews>
    <workbookView xWindow="165" yWindow="735" windowWidth="14955" windowHeight="4560"/>
  </bookViews>
  <sheets>
    <sheet name="Input" sheetId="1" r:id="rId1"/>
    <sheet name="CAM2" sheetId="9" r:id="rId2"/>
    <sheet name="Exceedance results" sheetId="2" r:id="rId3"/>
    <sheet name="IR contributions" sheetId="8" r:id="rId4"/>
    <sheet name="IR per year" sheetId="3" r:id="rId5"/>
    <sheet name="Model" sheetId="6" r:id="rId6"/>
    <sheet name="Module2" sheetId="7" state="veryHidden" r:id=""/>
  </sheets>
  <definedNames>
    <definedName name="solver_adj" localSheetId="1" hidden="1">'CAM2'!$G$17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'CAM2'!$H$15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52511"/>
</workbook>
</file>

<file path=xl/calcChain.xml><?xml version="1.0" encoding="utf-8"?>
<calcChain xmlns="http://schemas.openxmlformats.org/spreadsheetml/2006/main">
  <c r="D14" i="9" l="1"/>
  <c r="D15" i="9"/>
  <c r="D13" i="9"/>
  <c r="A16" i="8"/>
  <c r="B16" i="8"/>
  <c r="C16" i="8"/>
  <c r="D16" i="8"/>
  <c r="E16" i="8"/>
  <c r="F16" i="8"/>
  <c r="G16" i="8"/>
  <c r="H16" i="8"/>
  <c r="I16" i="8"/>
  <c r="J16" i="8"/>
  <c r="K16" i="8"/>
  <c r="L16" i="8"/>
  <c r="A17" i="8"/>
  <c r="B17" i="8"/>
  <c r="C17" i="8"/>
  <c r="D17" i="8"/>
  <c r="E17" i="8"/>
  <c r="F17" i="8"/>
  <c r="G17" i="8"/>
  <c r="H17" i="8"/>
  <c r="I17" i="8"/>
  <c r="J17" i="8"/>
  <c r="K17" i="8"/>
  <c r="L17" i="8"/>
  <c r="A18" i="8"/>
  <c r="B18" i="8"/>
  <c r="C18" i="8"/>
  <c r="D18" i="8"/>
  <c r="E18" i="8"/>
  <c r="F18" i="8"/>
  <c r="G18" i="8"/>
  <c r="H18" i="8"/>
  <c r="I18" i="8"/>
  <c r="J18" i="8"/>
  <c r="K18" i="8"/>
  <c r="L18" i="8"/>
  <c r="A19" i="8"/>
  <c r="B19" i="8"/>
  <c r="C19" i="8"/>
  <c r="D19" i="8"/>
  <c r="E19" i="8"/>
  <c r="F19" i="8"/>
  <c r="G19" i="8"/>
  <c r="H19" i="8"/>
  <c r="I19" i="8"/>
  <c r="J19" i="8"/>
  <c r="K19" i="8"/>
  <c r="L19" i="8"/>
  <c r="A20" i="8"/>
  <c r="B20" i="8"/>
  <c r="C20" i="8"/>
  <c r="D20" i="8"/>
  <c r="E20" i="8"/>
  <c r="F20" i="8"/>
  <c r="G20" i="8"/>
  <c r="H20" i="8"/>
  <c r="I20" i="8"/>
  <c r="J20" i="8"/>
  <c r="K20" i="8"/>
  <c r="L20" i="8"/>
  <c r="A21" i="8"/>
  <c r="B21" i="8"/>
  <c r="C21" i="8"/>
  <c r="D21" i="8"/>
  <c r="E21" i="8"/>
  <c r="F21" i="8"/>
  <c r="G21" i="8"/>
  <c r="H21" i="8"/>
  <c r="I21" i="8"/>
  <c r="J21" i="8"/>
  <c r="K21" i="8"/>
  <c r="L21" i="8"/>
  <c r="A3" i="2"/>
  <c r="A8" i="3" s="1"/>
  <c r="A4" i="2"/>
  <c r="A9" i="3" s="1"/>
  <c r="A5" i="2"/>
  <c r="A10" i="3" s="1"/>
  <c r="A6" i="2"/>
  <c r="A11" i="3" s="1"/>
  <c r="A7" i="2"/>
  <c r="A12" i="3" s="1"/>
  <c r="A8" i="2"/>
  <c r="A13" i="3" s="1"/>
  <c r="A9" i="2"/>
  <c r="A14" i="3" s="1"/>
  <c r="A10" i="2"/>
  <c r="A15" i="3" s="1"/>
  <c r="A11" i="2"/>
  <c r="A16" i="3" s="1"/>
  <c r="A12" i="2"/>
  <c r="A17" i="3" s="1"/>
  <c r="A13" i="2"/>
  <c r="A18" i="3" s="1"/>
  <c r="A14" i="2"/>
  <c r="A19" i="3" s="1"/>
  <c r="A15" i="2"/>
  <c r="A20" i="3" s="1"/>
  <c r="A16" i="2"/>
  <c r="A21" i="3" s="1"/>
  <c r="A17" i="2"/>
  <c r="A22" i="3" s="1"/>
  <c r="A18" i="2"/>
  <c r="A23" i="3" s="1"/>
  <c r="A19" i="2"/>
  <c r="A24" i="3" s="1"/>
  <c r="A20" i="2"/>
  <c r="A25" i="3" s="1"/>
  <c r="A21" i="2"/>
  <c r="A26" i="3" s="1"/>
  <c r="A22" i="2"/>
  <c r="A27" i="3" s="1"/>
  <c r="A23" i="2"/>
  <c r="A28" i="3" s="1"/>
  <c r="A24" i="2"/>
  <c r="A29" i="3" s="1"/>
  <c r="A25" i="2"/>
  <c r="A30" i="3" s="1"/>
  <c r="A26" i="2"/>
  <c r="A31" i="3" s="1"/>
  <c r="A27" i="2"/>
  <c r="A32" i="3" s="1"/>
  <c r="A28" i="2"/>
  <c r="A33" i="3" s="1"/>
  <c r="A29" i="2"/>
  <c r="A34" i="3" s="1"/>
  <c r="A30" i="2"/>
  <c r="A35" i="3" s="1"/>
  <c r="A31" i="2"/>
  <c r="A36" i="3" s="1"/>
  <c r="A32" i="2"/>
  <c r="A37" i="3" s="1"/>
  <c r="A33" i="2"/>
  <c r="A38" i="3" s="1"/>
  <c r="A34" i="2"/>
  <c r="A39" i="3" s="1"/>
  <c r="A35" i="2"/>
  <c r="A40" i="3" s="1"/>
  <c r="A36" i="2"/>
  <c r="A41" i="3" s="1"/>
  <c r="A37" i="2"/>
  <c r="A42" i="3" s="1"/>
  <c r="A38" i="2"/>
  <c r="A43" i="3" s="1"/>
  <c r="A39" i="2"/>
  <c r="A44" i="3" s="1"/>
  <c r="A40" i="2"/>
  <c r="A45" i="3" s="1"/>
  <c r="A41" i="2"/>
  <c r="A46" i="3" s="1"/>
  <c r="A42" i="2"/>
  <c r="A47" i="3" s="1"/>
  <c r="A43" i="2"/>
  <c r="A48" i="3" s="1"/>
  <c r="A44" i="2"/>
  <c r="A49" i="3" s="1"/>
  <c r="A45" i="2"/>
  <c r="A50" i="3" s="1"/>
  <c r="A46" i="2"/>
  <c r="A51" i="3" s="1"/>
  <c r="A47" i="2"/>
  <c r="A52" i="3" s="1"/>
  <c r="A48" i="2"/>
  <c r="A53" i="3" s="1"/>
  <c r="A49" i="2"/>
  <c r="A54" i="3" s="1"/>
  <c r="A50" i="2"/>
  <c r="A55" i="3" s="1"/>
  <c r="A51" i="2"/>
  <c r="A56" i="3" s="1"/>
  <c r="A52" i="2"/>
  <c r="A57" i="3" s="1"/>
  <c r="A53" i="2"/>
  <c r="A58" i="3" s="1"/>
  <c r="A54" i="2"/>
  <c r="A59" i="3" s="1"/>
  <c r="A55" i="2"/>
  <c r="A60" i="3" s="1"/>
  <c r="A56" i="2"/>
  <c r="A61" i="3" s="1"/>
  <c r="A57" i="2"/>
  <c r="A62" i="3" s="1"/>
  <c r="A58" i="2"/>
  <c r="A63" i="3" s="1"/>
  <c r="A59" i="2"/>
  <c r="A64" i="3" s="1"/>
  <c r="A60" i="2"/>
  <c r="A65" i="3" s="1"/>
  <c r="A61" i="2"/>
  <c r="A66" i="3" s="1"/>
  <c r="A62" i="2"/>
  <c r="A67" i="3" s="1"/>
  <c r="A63" i="2"/>
  <c r="A68" i="3" s="1"/>
  <c r="A64" i="2"/>
  <c r="A69" i="3" s="1"/>
  <c r="A65" i="2"/>
  <c r="A70" i="3" s="1"/>
  <c r="A66" i="2"/>
  <c r="A71" i="3" s="1"/>
  <c r="A67" i="2"/>
  <c r="A72" i="3" s="1"/>
  <c r="A68" i="2"/>
  <c r="A73" i="3" s="1"/>
  <c r="A69" i="2"/>
  <c r="A74" i="3" s="1"/>
  <c r="A70" i="2"/>
  <c r="A75" i="3" s="1"/>
  <c r="A71" i="2"/>
  <c r="A76" i="3" s="1"/>
  <c r="A72" i="2"/>
  <c r="A77" i="3" s="1"/>
  <c r="A2" i="2"/>
  <c r="A7" i="3" s="1"/>
  <c r="B5" i="6"/>
  <c r="B74" i="6" s="1"/>
  <c r="F74" i="6" s="1"/>
  <c r="B7" i="6"/>
  <c r="D42" i="6" s="1"/>
  <c r="K42" i="6" s="1"/>
  <c r="BG9" i="6"/>
  <c r="BH9" i="6"/>
  <c r="BI9" i="6"/>
  <c r="BJ9" i="6"/>
  <c r="BK9" i="6"/>
  <c r="BL9" i="6"/>
  <c r="BM9" i="6"/>
  <c r="BN9" i="6"/>
  <c r="BO9" i="6"/>
  <c r="BP9" i="6"/>
  <c r="BQ9" i="6"/>
  <c r="BR9" i="6"/>
  <c r="BS9" i="6"/>
  <c r="BT9" i="6"/>
  <c r="BU9" i="6"/>
  <c r="BV9" i="6"/>
  <c r="BW9" i="6"/>
  <c r="BX9" i="6"/>
  <c r="BY9" i="6"/>
  <c r="BZ9" i="6"/>
  <c r="CA9" i="6"/>
  <c r="CB9" i="6"/>
  <c r="CC9" i="6"/>
  <c r="CD9" i="6"/>
  <c r="CE9" i="6"/>
  <c r="CF9" i="6"/>
  <c r="CG9" i="6"/>
  <c r="CH9" i="6"/>
  <c r="CI9" i="6"/>
  <c r="CJ9" i="6"/>
  <c r="CK9" i="6"/>
  <c r="CL9" i="6"/>
  <c r="CM9" i="6"/>
  <c r="CN9" i="6"/>
  <c r="CO9" i="6"/>
  <c r="CP9" i="6"/>
  <c r="CQ9" i="6"/>
  <c r="CR9" i="6"/>
  <c r="CS9" i="6"/>
  <c r="CT9" i="6"/>
  <c r="CU9" i="6"/>
  <c r="CV9" i="6"/>
  <c r="CW9" i="6"/>
  <c r="CX9" i="6"/>
  <c r="CY9" i="6"/>
  <c r="CZ9" i="6"/>
  <c r="DA9" i="6"/>
  <c r="DB9" i="6"/>
  <c r="DC9" i="6"/>
  <c r="DD9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F10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F11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F12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P13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BC13" i="6"/>
  <c r="BD13" i="6"/>
  <c r="BF13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F14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F15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F16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F17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AV18" i="6"/>
  <c r="AW18" i="6"/>
  <c r="AX18" i="6"/>
  <c r="AY18" i="6"/>
  <c r="AZ18" i="6"/>
  <c r="BA18" i="6"/>
  <c r="BB18" i="6"/>
  <c r="BC18" i="6"/>
  <c r="BD18" i="6"/>
  <c r="BF18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B19" i="6"/>
  <c r="BC19" i="6"/>
  <c r="BD19" i="6"/>
  <c r="BF19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F20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BB21" i="6"/>
  <c r="BC21" i="6"/>
  <c r="BD21" i="6"/>
  <c r="BF21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F22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F23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F24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F25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F26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F27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F28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F29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F30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F31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F32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F33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F34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F35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F36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F37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F38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BB39" i="6"/>
  <c r="BC39" i="6"/>
  <c r="BD39" i="6"/>
  <c r="BF39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F40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F41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F42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F43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F44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F45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F46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L47" i="6"/>
  <c r="AM47" i="6"/>
  <c r="AN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F47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L48" i="6"/>
  <c r="AM48" i="6"/>
  <c r="AN48" i="6"/>
  <c r="AO48" i="6"/>
  <c r="AP48" i="6"/>
  <c r="AQ48" i="6"/>
  <c r="AR48" i="6"/>
  <c r="AS48" i="6"/>
  <c r="AT48" i="6"/>
  <c r="AU48" i="6"/>
  <c r="AV48" i="6"/>
  <c r="AW48" i="6"/>
  <c r="AX48" i="6"/>
  <c r="AY48" i="6"/>
  <c r="AZ48" i="6"/>
  <c r="BA48" i="6"/>
  <c r="BB48" i="6"/>
  <c r="BC48" i="6"/>
  <c r="BD48" i="6"/>
  <c r="BF48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F49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AG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B50" i="6"/>
  <c r="BC50" i="6"/>
  <c r="BD50" i="6"/>
  <c r="BF50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F51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F52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BB53" i="6"/>
  <c r="BC53" i="6"/>
  <c r="BD53" i="6"/>
  <c r="BF53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BB54" i="6"/>
  <c r="BC54" i="6"/>
  <c r="BD54" i="6"/>
  <c r="BF54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F55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BB56" i="6"/>
  <c r="BC56" i="6"/>
  <c r="BD56" i="6"/>
  <c r="BF56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B57" i="6"/>
  <c r="BC57" i="6"/>
  <c r="BD57" i="6"/>
  <c r="BF57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AU58" i="6"/>
  <c r="AV58" i="6"/>
  <c r="AW58" i="6"/>
  <c r="AX58" i="6"/>
  <c r="AY58" i="6"/>
  <c r="AZ58" i="6"/>
  <c r="BA58" i="6"/>
  <c r="BB58" i="6"/>
  <c r="BC58" i="6"/>
  <c r="BD58" i="6"/>
  <c r="BF58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AU59" i="6"/>
  <c r="AV59" i="6"/>
  <c r="AW59" i="6"/>
  <c r="AX59" i="6"/>
  <c r="AY59" i="6"/>
  <c r="AZ59" i="6"/>
  <c r="BA59" i="6"/>
  <c r="BB59" i="6"/>
  <c r="BC59" i="6"/>
  <c r="BD59" i="6"/>
  <c r="BF59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AU60" i="6"/>
  <c r="AV60" i="6"/>
  <c r="AW60" i="6"/>
  <c r="AX60" i="6"/>
  <c r="AY60" i="6"/>
  <c r="AZ60" i="6"/>
  <c r="BA60" i="6"/>
  <c r="BB60" i="6"/>
  <c r="BC60" i="6"/>
  <c r="BD60" i="6"/>
  <c r="BF60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P61" i="6"/>
  <c r="AQ61" i="6"/>
  <c r="AR61" i="6"/>
  <c r="AS61" i="6"/>
  <c r="AT61" i="6"/>
  <c r="AU61" i="6"/>
  <c r="AV61" i="6"/>
  <c r="AW61" i="6"/>
  <c r="AX61" i="6"/>
  <c r="AY61" i="6"/>
  <c r="AZ61" i="6"/>
  <c r="BA61" i="6"/>
  <c r="BB61" i="6"/>
  <c r="BC61" i="6"/>
  <c r="BD61" i="6"/>
  <c r="BF61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AK62" i="6"/>
  <c r="AL62" i="6"/>
  <c r="AM62" i="6"/>
  <c r="AN62" i="6"/>
  <c r="AO62" i="6"/>
  <c r="AP62" i="6"/>
  <c r="AQ62" i="6"/>
  <c r="AR62" i="6"/>
  <c r="AS62" i="6"/>
  <c r="AT62" i="6"/>
  <c r="AU62" i="6"/>
  <c r="AV62" i="6"/>
  <c r="AW62" i="6"/>
  <c r="AX62" i="6"/>
  <c r="AY62" i="6"/>
  <c r="AZ62" i="6"/>
  <c r="BA62" i="6"/>
  <c r="BB62" i="6"/>
  <c r="BC62" i="6"/>
  <c r="BD62" i="6"/>
  <c r="BF62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AK63" i="6"/>
  <c r="AL63" i="6"/>
  <c r="AM63" i="6"/>
  <c r="AN63" i="6"/>
  <c r="AO63" i="6"/>
  <c r="AP63" i="6"/>
  <c r="AQ63" i="6"/>
  <c r="AR63" i="6"/>
  <c r="AS63" i="6"/>
  <c r="AT63" i="6"/>
  <c r="AU63" i="6"/>
  <c r="AV63" i="6"/>
  <c r="AW63" i="6"/>
  <c r="AX63" i="6"/>
  <c r="AY63" i="6"/>
  <c r="AZ63" i="6"/>
  <c r="BA63" i="6"/>
  <c r="BB63" i="6"/>
  <c r="BC63" i="6"/>
  <c r="BD63" i="6"/>
  <c r="BF63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AK64" i="6"/>
  <c r="AL64" i="6"/>
  <c r="AM64" i="6"/>
  <c r="AN64" i="6"/>
  <c r="AO64" i="6"/>
  <c r="AP64" i="6"/>
  <c r="AQ64" i="6"/>
  <c r="AR64" i="6"/>
  <c r="AS64" i="6"/>
  <c r="AT64" i="6"/>
  <c r="AU64" i="6"/>
  <c r="AV64" i="6"/>
  <c r="AW64" i="6"/>
  <c r="AX64" i="6"/>
  <c r="AY64" i="6"/>
  <c r="AZ64" i="6"/>
  <c r="BA64" i="6"/>
  <c r="BB64" i="6"/>
  <c r="BC64" i="6"/>
  <c r="BD64" i="6"/>
  <c r="BF64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AK65" i="6"/>
  <c r="AL65" i="6"/>
  <c r="AM65" i="6"/>
  <c r="AN65" i="6"/>
  <c r="AO65" i="6"/>
  <c r="AP65" i="6"/>
  <c r="AQ65" i="6"/>
  <c r="AR65" i="6"/>
  <c r="AS65" i="6"/>
  <c r="AT65" i="6"/>
  <c r="AU65" i="6"/>
  <c r="AV65" i="6"/>
  <c r="AW65" i="6"/>
  <c r="AX65" i="6"/>
  <c r="AY65" i="6"/>
  <c r="AZ65" i="6"/>
  <c r="BA65" i="6"/>
  <c r="BB65" i="6"/>
  <c r="BC65" i="6"/>
  <c r="BD65" i="6"/>
  <c r="BF65" i="6"/>
  <c r="B66" i="6"/>
  <c r="F66" i="6" s="1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F66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BB67" i="6"/>
  <c r="BC67" i="6"/>
  <c r="BD67" i="6"/>
  <c r="BF67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AK68" i="6"/>
  <c r="AL68" i="6"/>
  <c r="AM68" i="6"/>
  <c r="AN68" i="6"/>
  <c r="AO68" i="6"/>
  <c r="AP68" i="6"/>
  <c r="AQ68" i="6"/>
  <c r="AR68" i="6"/>
  <c r="AS68" i="6"/>
  <c r="AT68" i="6"/>
  <c r="AU68" i="6"/>
  <c r="AV68" i="6"/>
  <c r="AW68" i="6"/>
  <c r="AX68" i="6"/>
  <c r="AY68" i="6"/>
  <c r="AZ68" i="6"/>
  <c r="BA68" i="6"/>
  <c r="BB68" i="6"/>
  <c r="BC68" i="6"/>
  <c r="BD68" i="6"/>
  <c r="BF68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AP69" i="6"/>
  <c r="AQ69" i="6"/>
  <c r="AR69" i="6"/>
  <c r="AS69" i="6"/>
  <c r="AT69" i="6"/>
  <c r="AU69" i="6"/>
  <c r="AV69" i="6"/>
  <c r="AW69" i="6"/>
  <c r="AX69" i="6"/>
  <c r="AY69" i="6"/>
  <c r="AZ69" i="6"/>
  <c r="BA69" i="6"/>
  <c r="BB69" i="6"/>
  <c r="BC69" i="6"/>
  <c r="BD69" i="6"/>
  <c r="BF69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P70" i="6"/>
  <c r="AQ70" i="6"/>
  <c r="AR70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F70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AS71" i="6"/>
  <c r="AT71" i="6"/>
  <c r="AU71" i="6"/>
  <c r="AV71" i="6"/>
  <c r="AW71" i="6"/>
  <c r="AX71" i="6"/>
  <c r="AY71" i="6"/>
  <c r="AZ71" i="6"/>
  <c r="BA71" i="6"/>
  <c r="BB71" i="6"/>
  <c r="BC71" i="6"/>
  <c r="BD71" i="6"/>
  <c r="BF71" i="6"/>
  <c r="Q72" i="6"/>
  <c r="R72" i="6"/>
  <c r="S72" i="6"/>
  <c r="T72" i="6"/>
  <c r="U72" i="6"/>
  <c r="V72" i="6"/>
  <c r="W72" i="6"/>
  <c r="X72" i="6"/>
  <c r="Y72" i="6"/>
  <c r="Z72" i="6"/>
  <c r="AA72" i="6"/>
  <c r="AB72" i="6"/>
  <c r="AC72" i="6"/>
  <c r="AD72" i="6"/>
  <c r="AE72" i="6"/>
  <c r="AF72" i="6"/>
  <c r="AG72" i="6"/>
  <c r="AH72" i="6"/>
  <c r="AI72" i="6"/>
  <c r="AJ72" i="6"/>
  <c r="AK72" i="6"/>
  <c r="AL72" i="6"/>
  <c r="AM72" i="6"/>
  <c r="AN72" i="6"/>
  <c r="AO72" i="6"/>
  <c r="AP72" i="6"/>
  <c r="AQ72" i="6"/>
  <c r="AR72" i="6"/>
  <c r="AS72" i="6"/>
  <c r="AT72" i="6"/>
  <c r="AU72" i="6"/>
  <c r="AV72" i="6"/>
  <c r="AW72" i="6"/>
  <c r="AX72" i="6"/>
  <c r="AY72" i="6"/>
  <c r="AZ72" i="6"/>
  <c r="BA72" i="6"/>
  <c r="BB72" i="6"/>
  <c r="BC72" i="6"/>
  <c r="BD72" i="6"/>
  <c r="BF72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AG73" i="6"/>
  <c r="AH73" i="6"/>
  <c r="AI73" i="6"/>
  <c r="AJ73" i="6"/>
  <c r="AK73" i="6"/>
  <c r="AL73" i="6"/>
  <c r="AM73" i="6"/>
  <c r="AN73" i="6"/>
  <c r="AO73" i="6"/>
  <c r="AP73" i="6"/>
  <c r="AQ73" i="6"/>
  <c r="AR73" i="6"/>
  <c r="AS73" i="6"/>
  <c r="AT73" i="6"/>
  <c r="AU73" i="6"/>
  <c r="AV73" i="6"/>
  <c r="AW73" i="6"/>
  <c r="AX73" i="6"/>
  <c r="AY73" i="6"/>
  <c r="AZ73" i="6"/>
  <c r="BA73" i="6"/>
  <c r="BB73" i="6"/>
  <c r="BC73" i="6"/>
  <c r="BD73" i="6"/>
  <c r="BF73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F74" i="6"/>
  <c r="AG74" i="6"/>
  <c r="AH74" i="6"/>
  <c r="AI74" i="6"/>
  <c r="AJ74" i="6"/>
  <c r="AK74" i="6"/>
  <c r="AL74" i="6"/>
  <c r="AM74" i="6"/>
  <c r="AN74" i="6"/>
  <c r="AO74" i="6"/>
  <c r="AP74" i="6"/>
  <c r="AQ74" i="6"/>
  <c r="AR74" i="6"/>
  <c r="AS74" i="6"/>
  <c r="AT74" i="6"/>
  <c r="AU74" i="6"/>
  <c r="AV74" i="6"/>
  <c r="AW74" i="6"/>
  <c r="AX74" i="6"/>
  <c r="AY74" i="6"/>
  <c r="AZ74" i="6"/>
  <c r="BA74" i="6"/>
  <c r="BB74" i="6"/>
  <c r="BC74" i="6"/>
  <c r="BD74" i="6"/>
  <c r="BF74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E75" i="6"/>
  <c r="AF75" i="6"/>
  <c r="AG75" i="6"/>
  <c r="AH75" i="6"/>
  <c r="AI75" i="6"/>
  <c r="AJ75" i="6"/>
  <c r="AK75" i="6"/>
  <c r="AL75" i="6"/>
  <c r="AM75" i="6"/>
  <c r="AN75" i="6"/>
  <c r="AO75" i="6"/>
  <c r="AP75" i="6"/>
  <c r="AQ75" i="6"/>
  <c r="AR75" i="6"/>
  <c r="AS75" i="6"/>
  <c r="AT75" i="6"/>
  <c r="AU75" i="6"/>
  <c r="AV75" i="6"/>
  <c r="AW75" i="6"/>
  <c r="AX75" i="6"/>
  <c r="AY75" i="6"/>
  <c r="AZ75" i="6"/>
  <c r="BA75" i="6"/>
  <c r="BB75" i="6"/>
  <c r="BC75" i="6"/>
  <c r="BD75" i="6"/>
  <c r="BF75" i="6"/>
  <c r="B76" i="6"/>
  <c r="F76" i="6" s="1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AI76" i="6"/>
  <c r="AJ76" i="6"/>
  <c r="AK76" i="6"/>
  <c r="AL76" i="6"/>
  <c r="AM76" i="6"/>
  <c r="AN76" i="6"/>
  <c r="AO76" i="6"/>
  <c r="AP76" i="6"/>
  <c r="AQ76" i="6"/>
  <c r="AR76" i="6"/>
  <c r="AS76" i="6"/>
  <c r="AT76" i="6"/>
  <c r="AU76" i="6"/>
  <c r="AV76" i="6"/>
  <c r="AW76" i="6"/>
  <c r="AX76" i="6"/>
  <c r="AY76" i="6"/>
  <c r="AZ76" i="6"/>
  <c r="BA76" i="6"/>
  <c r="BB76" i="6"/>
  <c r="BC76" i="6"/>
  <c r="BD76" i="6"/>
  <c r="BF76" i="6"/>
  <c r="B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AK77" i="6"/>
  <c r="AL77" i="6"/>
  <c r="AM77" i="6"/>
  <c r="AN77" i="6"/>
  <c r="AO77" i="6"/>
  <c r="AP77" i="6"/>
  <c r="AQ77" i="6"/>
  <c r="AR77" i="6"/>
  <c r="AS77" i="6"/>
  <c r="AT77" i="6"/>
  <c r="AU77" i="6"/>
  <c r="AV77" i="6"/>
  <c r="AW77" i="6"/>
  <c r="AX77" i="6"/>
  <c r="AY77" i="6"/>
  <c r="AZ77" i="6"/>
  <c r="BA77" i="6"/>
  <c r="BB77" i="6"/>
  <c r="BC77" i="6"/>
  <c r="BD77" i="6"/>
  <c r="BF77" i="6"/>
  <c r="B78" i="6"/>
  <c r="F78" i="6" s="1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G78" i="6"/>
  <c r="AH78" i="6"/>
  <c r="AI78" i="6"/>
  <c r="AJ78" i="6"/>
  <c r="AK78" i="6"/>
  <c r="AL78" i="6"/>
  <c r="AM78" i="6"/>
  <c r="AN78" i="6"/>
  <c r="AO78" i="6"/>
  <c r="AP78" i="6"/>
  <c r="AQ78" i="6"/>
  <c r="AR78" i="6"/>
  <c r="AS78" i="6"/>
  <c r="AT78" i="6"/>
  <c r="AU78" i="6"/>
  <c r="AV78" i="6"/>
  <c r="AW78" i="6"/>
  <c r="AX78" i="6"/>
  <c r="AY78" i="6"/>
  <c r="AZ78" i="6"/>
  <c r="BA78" i="6"/>
  <c r="BB78" i="6"/>
  <c r="BC78" i="6"/>
  <c r="BD78" i="6"/>
  <c r="BF78" i="6"/>
  <c r="B79" i="6"/>
  <c r="F79" i="6" s="1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F79" i="6"/>
  <c r="AG79" i="6"/>
  <c r="AH79" i="6"/>
  <c r="AI79" i="6"/>
  <c r="AJ79" i="6"/>
  <c r="AK79" i="6"/>
  <c r="AL79" i="6"/>
  <c r="AM79" i="6"/>
  <c r="AN79" i="6"/>
  <c r="AO79" i="6"/>
  <c r="AP79" i="6"/>
  <c r="AQ79" i="6"/>
  <c r="AR79" i="6"/>
  <c r="AS79" i="6"/>
  <c r="AT79" i="6"/>
  <c r="AU79" i="6"/>
  <c r="AV79" i="6"/>
  <c r="AW79" i="6"/>
  <c r="AX79" i="6"/>
  <c r="AY79" i="6"/>
  <c r="AZ79" i="6"/>
  <c r="BA79" i="6"/>
  <c r="BB79" i="6"/>
  <c r="BC79" i="6"/>
  <c r="BD79" i="6"/>
  <c r="BF79" i="6"/>
  <c r="B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AH80" i="6"/>
  <c r="AI80" i="6"/>
  <c r="AJ80" i="6"/>
  <c r="AK80" i="6"/>
  <c r="AL80" i="6"/>
  <c r="AM80" i="6"/>
  <c r="AN80" i="6"/>
  <c r="AO80" i="6"/>
  <c r="AP80" i="6"/>
  <c r="AQ80" i="6"/>
  <c r="AR80" i="6"/>
  <c r="AS80" i="6"/>
  <c r="AT80" i="6"/>
  <c r="AU80" i="6"/>
  <c r="AV80" i="6"/>
  <c r="AW80" i="6"/>
  <c r="AX80" i="6"/>
  <c r="AY80" i="6"/>
  <c r="AZ80" i="6"/>
  <c r="BA80" i="6"/>
  <c r="BB80" i="6"/>
  <c r="BC80" i="6"/>
  <c r="BD80" i="6"/>
  <c r="BF80" i="6"/>
  <c r="B1" i="3"/>
  <c r="B89" i="3" s="1"/>
  <c r="C1" i="3"/>
  <c r="C89" i="3" s="1"/>
  <c r="D1" i="3"/>
  <c r="D89" i="3" s="1"/>
  <c r="E1" i="3"/>
  <c r="E89" i="3" s="1"/>
  <c r="F1" i="3"/>
  <c r="F89" i="3" s="1"/>
  <c r="G1" i="3"/>
  <c r="H1" i="3"/>
  <c r="H89" i="3" s="1"/>
  <c r="I1" i="3"/>
  <c r="J1" i="3"/>
  <c r="J89" i="3" s="1"/>
  <c r="K1" i="3"/>
  <c r="K89" i="3" s="1"/>
  <c r="L1" i="3"/>
  <c r="B2" i="3"/>
  <c r="B4" i="3" s="1"/>
  <c r="C2" i="3"/>
  <c r="C4" i="3" s="1"/>
  <c r="D2" i="3"/>
  <c r="D4" i="3" s="1"/>
  <c r="E2" i="3"/>
  <c r="E3" i="3" s="1"/>
  <c r="F2" i="3"/>
  <c r="F4" i="3" s="1"/>
  <c r="G2" i="3"/>
  <c r="G4" i="3" s="1"/>
  <c r="H2" i="3"/>
  <c r="H3" i="3" s="1"/>
  <c r="I2" i="3"/>
  <c r="I4" i="3" s="1"/>
  <c r="J2" i="3"/>
  <c r="J4" i="3" s="1"/>
  <c r="K2" i="3"/>
  <c r="K4" i="3" s="1"/>
  <c r="L2" i="3"/>
  <c r="L4" i="3" s="1"/>
  <c r="L3" i="3"/>
  <c r="G89" i="3"/>
  <c r="I89" i="3"/>
  <c r="L89" i="3"/>
  <c r="B1" i="8"/>
  <c r="C1" i="8"/>
  <c r="D1" i="8"/>
  <c r="E1" i="8"/>
  <c r="F1" i="8"/>
  <c r="G1" i="8"/>
  <c r="H1" i="8"/>
  <c r="I1" i="8"/>
  <c r="J1" i="8"/>
  <c r="K1" i="8"/>
  <c r="L1" i="8"/>
  <c r="A2" i="8"/>
  <c r="B2" i="8"/>
  <c r="C2" i="8"/>
  <c r="D2" i="8"/>
  <c r="E2" i="8"/>
  <c r="F2" i="8"/>
  <c r="G2" i="8"/>
  <c r="H2" i="8"/>
  <c r="I2" i="8"/>
  <c r="J2" i="8"/>
  <c r="K2" i="8"/>
  <c r="L2" i="8"/>
  <c r="A3" i="8"/>
  <c r="B3" i="8"/>
  <c r="C3" i="8"/>
  <c r="D3" i="8"/>
  <c r="E3" i="8"/>
  <c r="F3" i="8"/>
  <c r="G3" i="8"/>
  <c r="H3" i="8"/>
  <c r="I3" i="8"/>
  <c r="J3" i="8"/>
  <c r="K3" i="8"/>
  <c r="L3" i="8"/>
  <c r="A4" i="8"/>
  <c r="B4" i="8"/>
  <c r="C4" i="8"/>
  <c r="D4" i="8"/>
  <c r="E4" i="8"/>
  <c r="F4" i="8"/>
  <c r="G4" i="8"/>
  <c r="H4" i="8"/>
  <c r="I4" i="8"/>
  <c r="J4" i="8"/>
  <c r="K4" i="8"/>
  <c r="L4" i="8"/>
  <c r="A5" i="8"/>
  <c r="B5" i="8"/>
  <c r="C5" i="8"/>
  <c r="D5" i="8"/>
  <c r="E5" i="8"/>
  <c r="F5" i="8"/>
  <c r="G5" i="8"/>
  <c r="H5" i="8"/>
  <c r="I5" i="8"/>
  <c r="J5" i="8"/>
  <c r="K5" i="8"/>
  <c r="L5" i="8"/>
  <c r="A6" i="8"/>
  <c r="B6" i="8"/>
  <c r="C6" i="8"/>
  <c r="D6" i="8"/>
  <c r="E6" i="8"/>
  <c r="F6" i="8"/>
  <c r="G6" i="8"/>
  <c r="H6" i="8"/>
  <c r="I6" i="8"/>
  <c r="J6" i="8"/>
  <c r="K6" i="8"/>
  <c r="L6" i="8"/>
  <c r="A7" i="8"/>
  <c r="B7" i="8"/>
  <c r="C7" i="8"/>
  <c r="D7" i="8"/>
  <c r="E7" i="8"/>
  <c r="F7" i="8"/>
  <c r="G7" i="8"/>
  <c r="H7" i="8"/>
  <c r="I7" i="8"/>
  <c r="J7" i="8"/>
  <c r="K7" i="8"/>
  <c r="L7" i="8"/>
  <c r="A8" i="8"/>
  <c r="B8" i="8"/>
  <c r="C8" i="8"/>
  <c r="D8" i="8"/>
  <c r="E8" i="8"/>
  <c r="F8" i="8"/>
  <c r="G8" i="8"/>
  <c r="H8" i="8"/>
  <c r="I8" i="8"/>
  <c r="J8" i="8"/>
  <c r="K8" i="8"/>
  <c r="L8" i="8"/>
  <c r="A9" i="8"/>
  <c r="B9" i="8"/>
  <c r="C9" i="8"/>
  <c r="D9" i="8"/>
  <c r="E9" i="8"/>
  <c r="F9" i="8"/>
  <c r="G9" i="8"/>
  <c r="H9" i="8"/>
  <c r="I9" i="8"/>
  <c r="J9" i="8"/>
  <c r="K9" i="8"/>
  <c r="L9" i="8"/>
  <c r="A10" i="8"/>
  <c r="B10" i="8"/>
  <c r="C10" i="8"/>
  <c r="D10" i="8"/>
  <c r="E10" i="8"/>
  <c r="F10" i="8"/>
  <c r="G10" i="8"/>
  <c r="H10" i="8"/>
  <c r="I10" i="8"/>
  <c r="J10" i="8"/>
  <c r="K10" i="8"/>
  <c r="L10" i="8"/>
  <c r="A11" i="8"/>
  <c r="B11" i="8"/>
  <c r="C11" i="8"/>
  <c r="D11" i="8"/>
  <c r="E11" i="8"/>
  <c r="F11" i="8"/>
  <c r="G11" i="8"/>
  <c r="H11" i="8"/>
  <c r="I11" i="8"/>
  <c r="J11" i="8"/>
  <c r="K11" i="8"/>
  <c r="L11" i="8"/>
  <c r="A12" i="8"/>
  <c r="B12" i="8"/>
  <c r="C12" i="8"/>
  <c r="D12" i="8"/>
  <c r="E12" i="8"/>
  <c r="F12" i="8"/>
  <c r="G12" i="8"/>
  <c r="H12" i="8"/>
  <c r="I12" i="8"/>
  <c r="J12" i="8"/>
  <c r="K12" i="8"/>
  <c r="L12" i="8"/>
  <c r="A13" i="8"/>
  <c r="B13" i="8"/>
  <c r="C13" i="8"/>
  <c r="D13" i="8"/>
  <c r="E13" i="8"/>
  <c r="F13" i="8"/>
  <c r="G13" i="8"/>
  <c r="H13" i="8"/>
  <c r="I13" i="8"/>
  <c r="J13" i="8"/>
  <c r="K13" i="8"/>
  <c r="L13" i="8"/>
  <c r="A14" i="8"/>
  <c r="B14" i="8"/>
  <c r="C14" i="8"/>
  <c r="D14" i="8"/>
  <c r="E14" i="8"/>
  <c r="F14" i="8"/>
  <c r="G14" i="8"/>
  <c r="H14" i="8"/>
  <c r="I14" i="8"/>
  <c r="J14" i="8"/>
  <c r="K14" i="8"/>
  <c r="L14" i="8"/>
  <c r="A15" i="8"/>
  <c r="B15" i="8"/>
  <c r="C15" i="8"/>
  <c r="D15" i="8"/>
  <c r="E15" i="8"/>
  <c r="F15" i="8"/>
  <c r="G15" i="8"/>
  <c r="H15" i="8"/>
  <c r="I15" i="8"/>
  <c r="J15" i="8"/>
  <c r="K15" i="8"/>
  <c r="L15" i="8"/>
  <c r="C50" i="8"/>
  <c r="D50" i="8"/>
  <c r="E50" i="8"/>
  <c r="F50" i="8"/>
  <c r="G50" i="8"/>
  <c r="H50" i="8"/>
  <c r="I50" i="8"/>
  <c r="J50" i="8"/>
  <c r="K50" i="8"/>
  <c r="L50" i="8"/>
  <c r="C51" i="8"/>
  <c r="D51" i="8"/>
  <c r="E51" i="8"/>
  <c r="F51" i="8"/>
  <c r="G51" i="8"/>
  <c r="H51" i="8"/>
  <c r="I51" i="8"/>
  <c r="J51" i="8"/>
  <c r="K51" i="8"/>
  <c r="L51" i="8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5" i="9"/>
  <c r="C8" i="9"/>
  <c r="C10" i="9"/>
  <c r="C13" i="9"/>
  <c r="F13" i="9" s="1"/>
  <c r="E13" i="9"/>
  <c r="B14" i="9"/>
  <c r="E14" i="9" s="1"/>
  <c r="B15" i="9"/>
  <c r="C15" i="9" s="1"/>
  <c r="F15" i="9" s="1"/>
  <c r="B75" i="6"/>
  <c r="F75" i="6" s="1"/>
  <c r="H4" i="3" l="1"/>
  <c r="I3" i="3"/>
  <c r="L46" i="3"/>
  <c r="L38" i="3"/>
  <c r="L58" i="3"/>
  <c r="L69" i="3"/>
  <c r="B72" i="6"/>
  <c r="F72" i="6" s="1"/>
  <c r="D3" i="3"/>
  <c r="D52" i="3" s="1"/>
  <c r="E4" i="3"/>
  <c r="E28" i="3" s="1"/>
  <c r="C3" i="3"/>
  <c r="K3" i="3"/>
  <c r="K70" i="3" s="1"/>
  <c r="G3" i="3"/>
  <c r="G46" i="3" s="1"/>
  <c r="J3" i="3"/>
  <c r="J65" i="3" s="1"/>
  <c r="F3" i="3"/>
  <c r="F8" i="3" s="1"/>
  <c r="B3" i="3"/>
  <c r="B46" i="3" s="1"/>
  <c r="H64" i="3"/>
  <c r="H60" i="3"/>
  <c r="C44" i="3"/>
  <c r="I36" i="3"/>
  <c r="I32" i="3"/>
  <c r="E12" i="3"/>
  <c r="F55" i="3"/>
  <c r="E51" i="3"/>
  <c r="H35" i="3"/>
  <c r="G31" i="3"/>
  <c r="H7" i="3"/>
  <c r="B74" i="3"/>
  <c r="C62" i="3"/>
  <c r="H30" i="3"/>
  <c r="C14" i="3"/>
  <c r="H77" i="3"/>
  <c r="H57" i="3"/>
  <c r="I53" i="3"/>
  <c r="E49" i="3"/>
  <c r="D29" i="3"/>
  <c r="C21" i="3"/>
  <c r="E17" i="3"/>
  <c r="C13" i="3"/>
  <c r="B64" i="6"/>
  <c r="F64" i="6" s="1"/>
  <c r="B57" i="6"/>
  <c r="F57" i="6" s="1"/>
  <c r="B58" i="6"/>
  <c r="F58" i="6" s="1"/>
  <c r="B71" i="6"/>
  <c r="F71" i="6" s="1"/>
  <c r="B60" i="6"/>
  <c r="F60" i="6" s="1"/>
  <c r="B59" i="6"/>
  <c r="F59" i="6" s="1"/>
  <c r="B22" i="6"/>
  <c r="F22" i="6" s="1"/>
  <c r="B34" i="6"/>
  <c r="F34" i="6" s="1"/>
  <c r="B52" i="6"/>
  <c r="F52" i="6" s="1"/>
  <c r="B62" i="6"/>
  <c r="F62" i="6" s="1"/>
  <c r="B67" i="6"/>
  <c r="F67" i="6" s="1"/>
  <c r="B70" i="6"/>
  <c r="F70" i="6" s="1"/>
  <c r="B63" i="6"/>
  <c r="F63" i="6" s="1"/>
  <c r="B47" i="6"/>
  <c r="F47" i="6" s="1"/>
  <c r="B41" i="6"/>
  <c r="F41" i="6" s="1"/>
  <c r="B69" i="6"/>
  <c r="F69" i="6" s="1"/>
  <c r="B68" i="6"/>
  <c r="F68" i="6" s="1"/>
  <c r="H17" i="3"/>
  <c r="H46" i="3"/>
  <c r="K21" i="3"/>
  <c r="B53" i="6"/>
  <c r="F53" i="6" s="1"/>
  <c r="B55" i="6"/>
  <c r="F55" i="6" s="1"/>
  <c r="B49" i="6"/>
  <c r="F49" i="6" s="1"/>
  <c r="B61" i="6"/>
  <c r="F61" i="6" s="1"/>
  <c r="B50" i="6"/>
  <c r="B24" i="6"/>
  <c r="F24" i="6" s="1"/>
  <c r="B15" i="6"/>
  <c r="F15" i="6" s="1"/>
  <c r="B40" i="6"/>
  <c r="F40" i="6" s="1"/>
  <c r="B39" i="6"/>
  <c r="F39" i="6" s="1"/>
  <c r="B32" i="6"/>
  <c r="F32" i="6" s="1"/>
  <c r="B13" i="6"/>
  <c r="F13" i="6" s="1"/>
  <c r="B30" i="6"/>
  <c r="F30" i="6" s="1"/>
  <c r="B38" i="6"/>
  <c r="F38" i="6" s="1"/>
  <c r="B18" i="6"/>
  <c r="F18" i="6" s="1"/>
  <c r="B14" i="6"/>
  <c r="F14" i="6" s="1"/>
  <c r="B35" i="6"/>
  <c r="F35" i="6" s="1"/>
  <c r="B11" i="6"/>
  <c r="F11" i="6" s="1"/>
  <c r="B28" i="6"/>
  <c r="F28" i="6" s="1"/>
  <c r="B23" i="6"/>
  <c r="F23" i="6" s="1"/>
  <c r="B25" i="6"/>
  <c r="F25" i="6" s="1"/>
  <c r="B36" i="6"/>
  <c r="F36" i="6" s="1"/>
  <c r="B44" i="6"/>
  <c r="F44" i="6" s="1"/>
  <c r="B31" i="6"/>
  <c r="F31" i="6" s="1"/>
  <c r="B45" i="6"/>
  <c r="F45" i="6" s="1"/>
  <c r="B42" i="6"/>
  <c r="F42" i="6" s="1"/>
  <c r="B26" i="6"/>
  <c r="F26" i="6" s="1"/>
  <c r="B17" i="6"/>
  <c r="F17" i="6" s="1"/>
  <c r="B16" i="6"/>
  <c r="F16" i="6" s="1"/>
  <c r="D59" i="6"/>
  <c r="J59" i="6" s="1"/>
  <c r="D10" i="6"/>
  <c r="H10" i="6" s="1"/>
  <c r="I21" i="3"/>
  <c r="B73" i="3"/>
  <c r="L73" i="3"/>
  <c r="F38" i="3"/>
  <c r="H14" i="3"/>
  <c r="L14" i="3"/>
  <c r="E34" i="3"/>
  <c r="G76" i="3"/>
  <c r="D76" i="3"/>
  <c r="L76" i="3"/>
  <c r="B37" i="6"/>
  <c r="F37" i="6" s="1"/>
  <c r="C67" i="3"/>
  <c r="C77" i="3"/>
  <c r="C73" i="3"/>
  <c r="E48" i="3"/>
  <c r="J46" i="3"/>
  <c r="C30" i="3"/>
  <c r="C55" i="3"/>
  <c r="B65" i="6"/>
  <c r="F65" i="6" s="1"/>
  <c r="B51" i="6"/>
  <c r="F51" i="6" s="1"/>
  <c r="B29" i="6"/>
  <c r="F29" i="6" s="1"/>
  <c r="B27" i="6"/>
  <c r="F27" i="6" s="1"/>
  <c r="B10" i="6"/>
  <c r="F10" i="6" s="1"/>
  <c r="B56" i="6"/>
  <c r="F56" i="6" s="1"/>
  <c r="B54" i="6"/>
  <c r="B12" i="6"/>
  <c r="F12" i="6" s="1"/>
  <c r="B20" i="6"/>
  <c r="F20" i="6" s="1"/>
  <c r="B46" i="6"/>
  <c r="F46" i="6" s="1"/>
  <c r="B33" i="6"/>
  <c r="F33" i="6" s="1"/>
  <c r="B21" i="6"/>
  <c r="F21" i="6" s="1"/>
  <c r="B48" i="6"/>
  <c r="F48" i="6" s="1"/>
  <c r="B19" i="6"/>
  <c r="F19" i="6" s="1"/>
  <c r="B43" i="6"/>
  <c r="F43" i="6" s="1"/>
  <c r="B73" i="6"/>
  <c r="F73" i="6" s="1"/>
  <c r="BR77" i="6"/>
  <c r="D31" i="6"/>
  <c r="P31" i="6" s="1"/>
  <c r="D40" i="6"/>
  <c r="N40" i="6" s="1"/>
  <c r="D15" i="6"/>
  <c r="N15" i="6" s="1"/>
  <c r="D68" i="6"/>
  <c r="K68" i="6" s="1"/>
  <c r="F17" i="3"/>
  <c r="C48" i="3"/>
  <c r="I67" i="3"/>
  <c r="I17" i="3"/>
  <c r="L17" i="3"/>
  <c r="C17" i="3"/>
  <c r="G17" i="3"/>
  <c r="H71" i="3"/>
  <c r="K12" i="3"/>
  <c r="C28" i="3"/>
  <c r="C46" i="3"/>
  <c r="C51" i="3"/>
  <c r="C58" i="3"/>
  <c r="G71" i="3"/>
  <c r="E71" i="3"/>
  <c r="K46" i="3"/>
  <c r="H67" i="3"/>
  <c r="J69" i="3"/>
  <c r="D15" i="3"/>
  <c r="K62" i="3"/>
  <c r="D14" i="3"/>
  <c r="E67" i="3"/>
  <c r="E46" i="3"/>
  <c r="C74" i="6"/>
  <c r="CJ40" i="6"/>
  <c r="DB65" i="6"/>
  <c r="CY48" i="6"/>
  <c r="D69" i="3"/>
  <c r="H58" i="3"/>
  <c r="I51" i="3"/>
  <c r="L62" i="3"/>
  <c r="H12" i="3"/>
  <c r="F51" i="3"/>
  <c r="E69" i="3"/>
  <c r="F62" i="3"/>
  <c r="L54" i="3"/>
  <c r="I69" i="3"/>
  <c r="CC76" i="6"/>
  <c r="CU62" i="6"/>
  <c r="CH67" i="6"/>
  <c r="C75" i="6"/>
  <c r="C78" i="6"/>
  <c r="CP49" i="6"/>
  <c r="J42" i="6"/>
  <c r="I42" i="6"/>
  <c r="H42" i="6"/>
  <c r="G42" i="6"/>
  <c r="L42" i="6"/>
  <c r="O42" i="6"/>
  <c r="P42" i="6"/>
  <c r="M42" i="6"/>
  <c r="N42" i="6"/>
  <c r="D33" i="6"/>
  <c r="D61" i="6"/>
  <c r="DA22" i="6"/>
  <c r="CS37" i="6"/>
  <c r="DC40" i="6"/>
  <c r="D60" i="6"/>
  <c r="D39" i="6"/>
  <c r="D35" i="6"/>
  <c r="D46" i="6"/>
  <c r="D48" i="6"/>
  <c r="D22" i="6"/>
  <c r="D70" i="6"/>
  <c r="D51" i="6"/>
  <c r="D78" i="6"/>
  <c r="D53" i="6"/>
  <c r="D65" i="6"/>
  <c r="D28" i="6"/>
  <c r="D47" i="6"/>
  <c r="D55" i="6"/>
  <c r="D29" i="6"/>
  <c r="D71" i="6"/>
  <c r="D24" i="6"/>
  <c r="D17" i="6"/>
  <c r="D75" i="6"/>
  <c r="D72" i="6"/>
  <c r="D23" i="6"/>
  <c r="D30" i="6"/>
  <c r="D34" i="6"/>
  <c r="D21" i="6"/>
  <c r="D41" i="6"/>
  <c r="D50" i="6"/>
  <c r="D20" i="6"/>
  <c r="D57" i="6"/>
  <c r="D19" i="6"/>
  <c r="D66" i="6"/>
  <c r="D26" i="6"/>
  <c r="D27" i="6"/>
  <c r="D49" i="6"/>
  <c r="D38" i="6"/>
  <c r="D36" i="6"/>
  <c r="D77" i="6"/>
  <c r="D64" i="6"/>
  <c r="D76" i="6"/>
  <c r="D14" i="6"/>
  <c r="D13" i="6"/>
  <c r="D80" i="6"/>
  <c r="D79" i="6"/>
  <c r="D25" i="6"/>
  <c r="D43" i="6"/>
  <c r="D16" i="6"/>
  <c r="D73" i="6"/>
  <c r="D56" i="6"/>
  <c r="D74" i="6"/>
  <c r="D62" i="6"/>
  <c r="D12" i="6"/>
  <c r="D54" i="6"/>
  <c r="D37" i="6"/>
  <c r="D44" i="6"/>
  <c r="D45" i="6"/>
  <c r="D11" i="6"/>
  <c r="D52" i="6"/>
  <c r="D63" i="6"/>
  <c r="D32" i="6"/>
  <c r="D58" i="6"/>
  <c r="D18" i="6"/>
  <c r="D69" i="6"/>
  <c r="CZ24" i="6"/>
  <c r="E40" i="3"/>
  <c r="C40" i="3"/>
  <c r="C20" i="3"/>
  <c r="L20" i="3"/>
  <c r="B18" i="3"/>
  <c r="J18" i="3"/>
  <c r="D43" i="3"/>
  <c r="L11" i="3"/>
  <c r="F11" i="3"/>
  <c r="I11" i="3"/>
  <c r="H72" i="3"/>
  <c r="J37" i="3"/>
  <c r="E37" i="3"/>
  <c r="L25" i="3"/>
  <c r="J25" i="3"/>
  <c r="H25" i="3"/>
  <c r="E9" i="3"/>
  <c r="H9" i="3"/>
  <c r="L9" i="3"/>
  <c r="C9" i="3"/>
  <c r="C52" i="3"/>
  <c r="H38" i="3"/>
  <c r="CX40" i="6"/>
  <c r="DD29" i="6"/>
  <c r="DB55" i="6"/>
  <c r="BR14" i="6"/>
  <c r="CS57" i="6"/>
  <c r="CQ51" i="6"/>
  <c r="CX46" i="6"/>
  <c r="CM27" i="6"/>
  <c r="CU23" i="6"/>
  <c r="BZ16" i="6"/>
  <c r="CM24" i="6"/>
  <c r="CT28" i="6"/>
  <c r="DB41" i="6"/>
  <c r="CO18" i="6"/>
  <c r="CC11" i="6"/>
  <c r="CK27" i="6"/>
  <c r="CL13" i="6"/>
  <c r="CE29" i="6"/>
  <c r="CA44" i="6"/>
  <c r="CR37" i="6"/>
  <c r="CG37" i="6"/>
  <c r="CB51" i="6"/>
  <c r="CH59" i="6"/>
  <c r="CG12" i="6"/>
  <c r="CZ50" i="6"/>
  <c r="CK47" i="6"/>
  <c r="CD10" i="6"/>
  <c r="BY25" i="6"/>
  <c r="CG21" i="6"/>
  <c r="CU15" i="6"/>
  <c r="CF52" i="6"/>
  <c r="CP48" i="6"/>
  <c r="CT45" i="6"/>
  <c r="BU45" i="6"/>
  <c r="CW52" i="6"/>
  <c r="BS66" i="6"/>
  <c r="CS68" i="6"/>
  <c r="BZ31" i="6"/>
  <c r="BU57" i="6"/>
  <c r="CI60" i="6"/>
  <c r="BY18" i="6"/>
  <c r="BZ40" i="6"/>
  <c r="CN31" i="6"/>
  <c r="BR40" i="6"/>
  <c r="BY37" i="6"/>
  <c r="CT59" i="6"/>
  <c r="BV41" i="6"/>
  <c r="CK53" i="6"/>
  <c r="CP28" i="6"/>
  <c r="CO25" i="6"/>
  <c r="CT20" i="6"/>
  <c r="CJ14" i="6"/>
  <c r="CJ41" i="6"/>
  <c r="CP38" i="6"/>
  <c r="CX29" i="6"/>
  <c r="BZ76" i="6"/>
  <c r="CC20" i="6"/>
  <c r="CO67" i="6"/>
  <c r="DA50" i="6"/>
  <c r="CY54" i="6"/>
  <c r="CA58" i="6"/>
  <c r="CU51" i="6"/>
  <c r="DA13" i="6"/>
  <c r="CB29" i="6"/>
  <c r="CB77" i="6"/>
  <c r="CB63" i="6"/>
  <c r="CB71" i="6"/>
  <c r="CB76" i="6"/>
  <c r="CB78" i="6"/>
  <c r="CB45" i="6"/>
  <c r="CB23" i="6"/>
  <c r="CB27" i="6"/>
  <c r="CB79" i="6"/>
  <c r="CB72" i="6"/>
  <c r="CB80" i="6"/>
  <c r="CB62" i="6"/>
  <c r="CB44" i="6"/>
  <c r="CB61" i="6"/>
  <c r="CB53" i="6"/>
  <c r="CB19" i="6"/>
  <c r="CB75" i="6"/>
  <c r="CB28" i="6"/>
  <c r="CB41" i="6"/>
  <c r="CB55" i="6"/>
  <c r="CB35" i="6"/>
  <c r="CB59" i="6"/>
  <c r="CB37" i="6"/>
  <c r="CB68" i="6"/>
  <c r="BX45" i="6"/>
  <c r="BX44" i="6"/>
  <c r="BX80" i="6"/>
  <c r="BX27" i="6"/>
  <c r="BX72" i="6"/>
  <c r="BX62" i="6"/>
  <c r="BX78" i="6"/>
  <c r="BX71" i="6"/>
  <c r="BX19" i="6"/>
  <c r="BX63" i="6"/>
  <c r="BX23" i="6"/>
  <c r="BX70" i="6"/>
  <c r="BX77" i="6"/>
  <c r="BX57" i="6"/>
  <c r="BX21" i="6"/>
  <c r="BX46" i="6"/>
  <c r="BX79" i="6"/>
  <c r="BX39" i="6"/>
  <c r="BX37" i="6"/>
  <c r="BX68" i="6"/>
  <c r="BX35" i="6"/>
  <c r="BX28" i="6"/>
  <c r="BX76" i="6"/>
  <c r="BX41" i="6"/>
  <c r="BT80" i="6"/>
  <c r="BT71" i="6"/>
  <c r="BT78" i="6"/>
  <c r="BT63" i="6"/>
  <c r="BT23" i="6"/>
  <c r="BT41" i="6"/>
  <c r="BT45" i="6"/>
  <c r="BT77" i="6"/>
  <c r="BT72" i="6"/>
  <c r="BT44" i="6"/>
  <c r="BT62" i="6"/>
  <c r="BT43" i="6"/>
  <c r="BT79" i="6"/>
  <c r="BT35" i="6"/>
  <c r="BT66" i="6"/>
  <c r="BT55" i="6"/>
  <c r="BT28" i="6"/>
  <c r="BT27" i="6"/>
  <c r="BT76" i="6"/>
  <c r="BT39" i="6"/>
  <c r="BT73" i="6"/>
  <c r="BT61" i="6"/>
  <c r="BT46" i="6"/>
  <c r="BT59" i="6"/>
  <c r="BT68" i="6"/>
  <c r="DB42" i="6"/>
  <c r="DB69" i="6"/>
  <c r="DB53" i="6"/>
  <c r="DB51" i="6"/>
  <c r="DB60" i="6"/>
  <c r="DB35" i="6"/>
  <c r="DB40" i="6"/>
  <c r="DB67" i="6"/>
  <c r="DB26" i="6"/>
  <c r="DB22" i="6"/>
  <c r="DB13" i="6"/>
  <c r="DB62" i="6"/>
  <c r="DB76" i="6"/>
  <c r="DB49" i="6"/>
  <c r="DB15" i="6"/>
  <c r="DB58" i="6"/>
  <c r="DB71" i="6"/>
  <c r="DB31" i="6"/>
  <c r="DB17" i="6"/>
  <c r="DB74" i="6"/>
  <c r="CT67" i="6"/>
  <c r="CT74" i="6"/>
  <c r="CT35" i="6"/>
  <c r="CT76" i="6"/>
  <c r="CT58" i="6"/>
  <c r="CT71" i="6"/>
  <c r="CT49" i="6"/>
  <c r="CT13" i="6"/>
  <c r="CT42" i="6"/>
  <c r="CT17" i="6"/>
  <c r="CT22" i="6"/>
  <c r="CT44" i="6"/>
  <c r="CT78" i="6"/>
  <c r="CT53" i="6"/>
  <c r="CT33" i="6"/>
  <c r="CT15" i="6"/>
  <c r="CT26" i="6"/>
  <c r="CT31" i="6"/>
  <c r="CT40" i="6"/>
  <c r="CT51" i="6"/>
  <c r="CT69" i="6"/>
  <c r="CL31" i="6"/>
  <c r="CL26" i="6"/>
  <c r="CL60" i="6"/>
  <c r="CL71" i="6"/>
  <c r="CL17" i="6"/>
  <c r="CL42" i="6"/>
  <c r="CL40" i="6"/>
  <c r="CL44" i="6"/>
  <c r="CL76" i="6"/>
  <c r="CL53" i="6"/>
  <c r="CL22" i="6"/>
  <c r="CL78" i="6"/>
  <c r="CL69" i="6"/>
  <c r="CL33" i="6"/>
  <c r="CL67" i="6"/>
  <c r="CL62" i="6"/>
  <c r="CL15" i="6"/>
  <c r="CL58" i="6"/>
  <c r="CL35" i="6"/>
  <c r="CL74" i="6"/>
  <c r="CD74" i="6"/>
  <c r="CD69" i="6"/>
  <c r="CD53" i="6"/>
  <c r="CD44" i="6"/>
  <c r="CD40" i="6"/>
  <c r="CD71" i="6"/>
  <c r="CD76" i="6"/>
  <c r="CD42" i="6"/>
  <c r="CD49" i="6"/>
  <c r="CD22" i="6"/>
  <c r="CD13" i="6"/>
  <c r="CD78" i="6"/>
  <c r="CD58" i="6"/>
  <c r="CD26" i="6"/>
  <c r="CD60" i="6"/>
  <c r="CD62" i="6"/>
  <c r="CD31" i="6"/>
  <c r="CD17" i="6"/>
  <c r="CD35" i="6"/>
  <c r="CD67" i="6"/>
  <c r="BV74" i="6"/>
  <c r="BV78" i="6"/>
  <c r="BV53" i="6"/>
  <c r="BV76" i="6"/>
  <c r="BV44" i="6"/>
  <c r="BV71" i="6"/>
  <c r="BV35" i="6"/>
  <c r="BV42" i="6"/>
  <c r="BV17" i="6"/>
  <c r="BV69" i="6"/>
  <c r="BV40" i="6"/>
  <c r="BV62" i="6"/>
  <c r="BV22" i="6"/>
  <c r="BV26" i="6"/>
  <c r="BV60" i="6"/>
  <c r="BV31" i="6"/>
  <c r="BV58" i="6"/>
  <c r="BV49" i="6"/>
  <c r="BV67" i="6"/>
  <c r="BV13" i="6"/>
  <c r="BV51" i="6"/>
  <c r="DA43" i="6"/>
  <c r="DA75" i="6"/>
  <c r="DA61" i="6"/>
  <c r="DA64" i="6"/>
  <c r="DA46" i="6"/>
  <c r="DA10" i="6"/>
  <c r="DA70" i="6"/>
  <c r="DA16" i="6"/>
  <c r="DA37" i="6"/>
  <c r="DA73" i="6"/>
  <c r="DA28" i="6"/>
  <c r="DA19" i="6"/>
  <c r="CS43" i="6"/>
  <c r="CS61" i="6"/>
  <c r="CS75" i="6"/>
  <c r="CS64" i="6"/>
  <c r="CS73" i="6"/>
  <c r="CS52" i="6"/>
  <c r="CS28" i="6"/>
  <c r="CS19" i="6"/>
  <c r="CS70" i="6"/>
  <c r="CK61" i="6"/>
  <c r="CK75" i="6"/>
  <c r="CK28" i="6"/>
  <c r="CK64" i="6"/>
  <c r="CK52" i="6"/>
  <c r="CK34" i="6"/>
  <c r="CK37" i="6"/>
  <c r="CK19" i="6"/>
  <c r="CK43" i="6"/>
  <c r="CK70" i="6"/>
  <c r="CK73" i="6"/>
  <c r="CK10" i="6"/>
  <c r="CK46" i="6"/>
  <c r="CK16" i="6"/>
  <c r="CC70" i="6"/>
  <c r="CC61" i="6"/>
  <c r="CC10" i="6"/>
  <c r="CC37" i="6"/>
  <c r="CC28" i="6"/>
  <c r="CC43" i="6"/>
  <c r="CC52" i="6"/>
  <c r="CC64" i="6"/>
  <c r="CC34" i="6"/>
  <c r="CC55" i="6"/>
  <c r="CC19" i="6"/>
  <c r="CC16" i="6"/>
  <c r="CC46" i="6"/>
  <c r="CC75" i="6"/>
  <c r="BU61" i="6"/>
  <c r="BU75" i="6"/>
  <c r="BU43" i="6"/>
  <c r="BU46" i="6"/>
  <c r="BU10" i="6"/>
  <c r="BU70" i="6"/>
  <c r="BU28" i="6"/>
  <c r="BU55" i="6"/>
  <c r="BU64" i="6"/>
  <c r="BQ61" i="6"/>
  <c r="BQ46" i="6"/>
  <c r="BQ73" i="6"/>
  <c r="BQ37" i="6"/>
  <c r="BQ55" i="6"/>
  <c r="BQ75" i="6"/>
  <c r="BQ64" i="6"/>
  <c r="BQ52" i="6"/>
  <c r="BQ70" i="6"/>
  <c r="BQ28" i="6"/>
  <c r="BQ43" i="6"/>
  <c r="CZ38" i="6"/>
  <c r="CZ20" i="6"/>
  <c r="CZ65" i="6"/>
  <c r="CZ33" i="6"/>
  <c r="CZ47" i="6"/>
  <c r="CZ15" i="6"/>
  <c r="CZ11" i="6"/>
  <c r="CZ51" i="6"/>
  <c r="CZ29" i="6"/>
  <c r="CN69" i="6"/>
  <c r="CN56" i="6"/>
  <c r="CN24" i="6"/>
  <c r="CN33" i="6"/>
  <c r="CN11" i="6"/>
  <c r="CN51" i="6"/>
  <c r="CN29" i="6"/>
  <c r="CN15" i="6"/>
  <c r="CN20" i="6"/>
  <c r="C76" i="6"/>
  <c r="C77" i="6"/>
  <c r="F77" i="6"/>
  <c r="CX68" i="6"/>
  <c r="CX14" i="6"/>
  <c r="CX73" i="6"/>
  <c r="CX41" i="6"/>
  <c r="CX23" i="6"/>
  <c r="CX59" i="6"/>
  <c r="CX64" i="6"/>
  <c r="CX55" i="6"/>
  <c r="CX50" i="6"/>
  <c r="CX19" i="6"/>
  <c r="CP73" i="6"/>
  <c r="CP59" i="6"/>
  <c r="CP32" i="6"/>
  <c r="CP23" i="6"/>
  <c r="CP68" i="6"/>
  <c r="CP37" i="6"/>
  <c r="CP19" i="6"/>
  <c r="CP50" i="6"/>
  <c r="CP14" i="6"/>
  <c r="CP41" i="6"/>
  <c r="CP64" i="6"/>
  <c r="CP55" i="6"/>
  <c r="CD73" i="6"/>
  <c r="CD14" i="6"/>
  <c r="CD59" i="6"/>
  <c r="CD50" i="6"/>
  <c r="CD32" i="6"/>
  <c r="CD41" i="6"/>
  <c r="CD68" i="6"/>
  <c r="CN13" i="6"/>
  <c r="CF13" i="6"/>
  <c r="CF49" i="6"/>
  <c r="BX58" i="6"/>
  <c r="BX40" i="6"/>
  <c r="BX67" i="6"/>
  <c r="BX13" i="6"/>
  <c r="BX31" i="6"/>
  <c r="BX49" i="6"/>
  <c r="CW30" i="6"/>
  <c r="CW39" i="6"/>
  <c r="CW48" i="6"/>
  <c r="CW57" i="6"/>
  <c r="CW66" i="6"/>
  <c r="CW12" i="6"/>
  <c r="CO66" i="6"/>
  <c r="CO57" i="6"/>
  <c r="CO30" i="6"/>
  <c r="CO39" i="6"/>
  <c r="CO48" i="6"/>
  <c r="CK39" i="6"/>
  <c r="CK12" i="6"/>
  <c r="CK66" i="6"/>
  <c r="CK30" i="6"/>
  <c r="CK57" i="6"/>
  <c r="CK48" i="6"/>
  <c r="CC39" i="6"/>
  <c r="CC30" i="6"/>
  <c r="CC12" i="6"/>
  <c r="CC57" i="6"/>
  <c r="CC66" i="6"/>
  <c r="BU30" i="6"/>
  <c r="BU39" i="6"/>
  <c r="BU66" i="6"/>
  <c r="BU12" i="6"/>
  <c r="BU48" i="6"/>
  <c r="DB38" i="6"/>
  <c r="DB29" i="6"/>
  <c r="DB47" i="6"/>
  <c r="DB56" i="6"/>
  <c r="CX65" i="6"/>
  <c r="CX47" i="6"/>
  <c r="CX11" i="6"/>
  <c r="CX56" i="6"/>
  <c r="CX38" i="6"/>
  <c r="CP29" i="6"/>
  <c r="CP47" i="6"/>
  <c r="CP65" i="6"/>
  <c r="CP11" i="6"/>
  <c r="CH56" i="6"/>
  <c r="CH29" i="6"/>
  <c r="CH38" i="6"/>
  <c r="CH11" i="6"/>
  <c r="CH47" i="6"/>
  <c r="CH65" i="6"/>
  <c r="BZ38" i="6"/>
  <c r="BZ47" i="6"/>
  <c r="BZ56" i="6"/>
  <c r="BZ11" i="6"/>
  <c r="BZ29" i="6"/>
  <c r="BZ65" i="6"/>
  <c r="BR56" i="6"/>
  <c r="BR65" i="6"/>
  <c r="BR38" i="6"/>
  <c r="BR29" i="6"/>
  <c r="BR47" i="6"/>
  <c r="CY55" i="6"/>
  <c r="CY10" i="6"/>
  <c r="CY28" i="6"/>
  <c r="CY64" i="6"/>
  <c r="CY46" i="6"/>
  <c r="CQ55" i="6"/>
  <c r="CQ28" i="6"/>
  <c r="CQ64" i="6"/>
  <c r="CQ46" i="6"/>
  <c r="CQ37" i="6"/>
  <c r="CQ10" i="6"/>
  <c r="CM46" i="6"/>
  <c r="CM37" i="6"/>
  <c r="CM55" i="6"/>
  <c r="CM64" i="6"/>
  <c r="CM28" i="6"/>
  <c r="CE10" i="6"/>
  <c r="CE55" i="6"/>
  <c r="CE37" i="6"/>
  <c r="CE28" i="6"/>
  <c r="CE64" i="6"/>
  <c r="CA10" i="6"/>
  <c r="CA64" i="6"/>
  <c r="CA28" i="6"/>
  <c r="CA46" i="6"/>
  <c r="CA37" i="6"/>
  <c r="BW10" i="6"/>
  <c r="BW55" i="6"/>
  <c r="BW28" i="6"/>
  <c r="BW46" i="6"/>
  <c r="BW64" i="6"/>
  <c r="BW37" i="6"/>
  <c r="BS37" i="6"/>
  <c r="BS64" i="6"/>
  <c r="BS46" i="6"/>
  <c r="BS55" i="6"/>
  <c r="BS28" i="6"/>
  <c r="CJ36" i="6"/>
  <c r="BX36" i="6"/>
  <c r="BX54" i="6"/>
  <c r="CW53" i="6"/>
  <c r="CS53" i="6"/>
  <c r="CS35" i="6"/>
  <c r="CO35" i="6"/>
  <c r="CO53" i="6"/>
  <c r="CG53" i="6"/>
  <c r="CG35" i="6"/>
  <c r="BU53" i="6"/>
  <c r="BU35" i="6"/>
  <c r="DB52" i="6"/>
  <c r="DB34" i="6"/>
  <c r="CT34" i="6"/>
  <c r="CT52" i="6"/>
  <c r="CL52" i="6"/>
  <c r="CL34" i="6"/>
  <c r="CD52" i="6"/>
  <c r="CD34" i="6"/>
  <c r="BR34" i="6"/>
  <c r="BR52" i="6"/>
  <c r="CU33" i="6"/>
  <c r="CM51" i="6"/>
  <c r="CM33" i="6"/>
  <c r="CA33" i="6"/>
  <c r="CA51" i="6"/>
  <c r="DD32" i="6"/>
  <c r="CV32" i="6"/>
  <c r="CV50" i="6"/>
  <c r="CN32" i="6"/>
  <c r="CN50" i="6"/>
  <c r="CF32" i="6"/>
  <c r="CF50" i="6"/>
  <c r="BX50" i="6"/>
  <c r="BX32" i="6"/>
  <c r="CW49" i="6"/>
  <c r="CW31" i="6"/>
  <c r="CO31" i="6"/>
  <c r="CO49" i="6"/>
  <c r="CK49" i="6"/>
  <c r="CK31" i="6"/>
  <c r="CC49" i="6"/>
  <c r="CC31" i="6"/>
  <c r="BY31" i="6"/>
  <c r="BY49" i="6"/>
  <c r="BQ49" i="6"/>
  <c r="BQ31" i="6"/>
  <c r="DD48" i="6"/>
  <c r="DD30" i="6"/>
  <c r="DD12" i="6"/>
  <c r="CZ12" i="6"/>
  <c r="CZ48" i="6"/>
  <c r="CV48" i="6"/>
  <c r="CV30" i="6"/>
  <c r="CV12" i="6"/>
  <c r="CR12" i="6"/>
  <c r="CR48" i="6"/>
  <c r="CF30" i="6"/>
  <c r="CF12" i="6"/>
  <c r="CF48" i="6"/>
  <c r="BX30" i="6"/>
  <c r="BX12" i="6"/>
  <c r="BX48" i="6"/>
  <c r="CC47" i="6"/>
  <c r="BU47" i="6"/>
  <c r="BU11" i="6"/>
  <c r="BU29" i="6"/>
  <c r="DB46" i="6"/>
  <c r="DB28" i="6"/>
  <c r="DB10" i="6"/>
  <c r="CT46" i="6"/>
  <c r="CT10" i="6"/>
  <c r="CL10" i="6"/>
  <c r="CL28" i="6"/>
  <c r="CL46" i="6"/>
  <c r="BZ46" i="6"/>
  <c r="BZ28" i="6"/>
  <c r="BZ10" i="6"/>
  <c r="DC27" i="6"/>
  <c r="CU27" i="6"/>
  <c r="CI27" i="6"/>
  <c r="CA27" i="6"/>
  <c r="BS27" i="6"/>
  <c r="CN26" i="6"/>
  <c r="CF26" i="6"/>
  <c r="BX26" i="6"/>
  <c r="DA25" i="6"/>
  <c r="CS25" i="6"/>
  <c r="CG25" i="6"/>
  <c r="BU25" i="6"/>
  <c r="DB24" i="6"/>
  <c r="CT24" i="6"/>
  <c r="CL24" i="6"/>
  <c r="CD24" i="6"/>
  <c r="BV24" i="6"/>
  <c r="DC23" i="6"/>
  <c r="CM23" i="6"/>
  <c r="CE23" i="6"/>
  <c r="BW23" i="6"/>
  <c r="DD22" i="6"/>
  <c r="CF22" i="6"/>
  <c r="BX22" i="6"/>
  <c r="DA21" i="6"/>
  <c r="CS21" i="6"/>
  <c r="CK21" i="6"/>
  <c r="CC21" i="6"/>
  <c r="BQ21" i="6"/>
  <c r="CX20" i="6"/>
  <c r="CP20" i="6"/>
  <c r="CH20" i="6"/>
  <c r="BZ20" i="6"/>
  <c r="BR20" i="6"/>
  <c r="CY19" i="6"/>
  <c r="CQ19" i="6"/>
  <c r="CI19" i="6"/>
  <c r="BW19" i="6"/>
  <c r="DD18" i="6"/>
  <c r="CV18" i="6"/>
  <c r="CJ18" i="6"/>
  <c r="CB18" i="6"/>
  <c r="BT18" i="6"/>
  <c r="CW17" i="6"/>
  <c r="CO17" i="6"/>
  <c r="CG17" i="6"/>
  <c r="BY17" i="6"/>
  <c r="BQ17" i="6"/>
  <c r="CX16" i="6"/>
  <c r="CP16" i="6"/>
  <c r="CH16" i="6"/>
  <c r="BV16" i="6"/>
  <c r="DC15" i="6"/>
  <c r="CQ15" i="6"/>
  <c r="CM15" i="6"/>
  <c r="CE15" i="6"/>
  <c r="BW15" i="6"/>
  <c r="DD14" i="6"/>
  <c r="CV14" i="6"/>
  <c r="CB14" i="6"/>
  <c r="BX14" i="6"/>
  <c r="CS13" i="6"/>
  <c r="CK13" i="6"/>
  <c r="CC13" i="6"/>
  <c r="BU13" i="6"/>
  <c r="DB12" i="6"/>
  <c r="CT12" i="6"/>
  <c r="CL12" i="6"/>
  <c r="BZ12" i="6"/>
  <c r="BR12" i="6"/>
  <c r="CY11" i="6"/>
  <c r="CQ11" i="6"/>
  <c r="CI11" i="6"/>
  <c r="CA11" i="6"/>
  <c r="DD10" i="6"/>
  <c r="CF23" i="6"/>
  <c r="CF80" i="6"/>
  <c r="CJ77" i="6"/>
  <c r="CM65" i="6"/>
  <c r="CP80" i="6"/>
  <c r="CP70" i="6"/>
  <c r="CX32" i="6"/>
  <c r="DB78" i="6"/>
  <c r="DB33" i="6"/>
  <c r="CK76" i="6"/>
  <c r="BY45" i="6"/>
  <c r="CC29" i="6"/>
  <c r="CK36" i="6"/>
  <c r="CQ22" i="6"/>
  <c r="CE39" i="6"/>
  <c r="CG52" i="6"/>
  <c r="CS79" i="6"/>
  <c r="DA69" i="6"/>
  <c r="CZ68" i="6"/>
  <c r="CE46" i="6"/>
  <c r="DA55" i="6"/>
  <c r="CQ56" i="6"/>
  <c r="CI58" i="6"/>
  <c r="BX59" i="6"/>
  <c r="CA75" i="6"/>
  <c r="CI25" i="6"/>
  <c r="CY26" i="6"/>
  <c r="CL49" i="6"/>
  <c r="CB17" i="6"/>
  <c r="CY37" i="6"/>
  <c r="CZ62" i="6"/>
  <c r="CF70" i="6"/>
  <c r="CJ72" i="6"/>
  <c r="CJ46" i="6"/>
  <c r="CM32" i="6"/>
  <c r="CM30" i="6"/>
  <c r="CP27" i="6"/>
  <c r="CT62" i="6"/>
  <c r="CT60" i="6"/>
  <c r="CX36" i="6"/>
  <c r="DB44" i="6"/>
  <c r="CH72" i="6"/>
  <c r="BZ77" i="6"/>
  <c r="BU74" i="6"/>
  <c r="CU39" i="6"/>
  <c r="CY14" i="6"/>
  <c r="CA26" i="6"/>
  <c r="CH50" i="6"/>
  <c r="CO65" i="6"/>
  <c r="CQ39" i="6"/>
  <c r="CG70" i="6"/>
  <c r="CO42" i="6"/>
  <c r="CW54" i="6"/>
  <c r="DA45" i="6"/>
  <c r="CC48" i="6"/>
  <c r="BW20" i="6"/>
  <c r="CU47" i="6"/>
  <c r="CQ13" i="6"/>
  <c r="CN68" i="6"/>
  <c r="CA55" i="6"/>
  <c r="CY70" i="6"/>
  <c r="BQ54" i="6"/>
  <c r="DA67" i="6"/>
  <c r="CN47" i="6"/>
  <c r="CG71" i="6"/>
  <c r="CK55" i="6"/>
  <c r="BR75" i="6"/>
  <c r="DD59" i="6"/>
  <c r="DD27" i="6"/>
  <c r="DD77" i="6"/>
  <c r="CR71" i="6"/>
  <c r="CJ27" i="6"/>
  <c r="BR72" i="6"/>
  <c r="CC36" i="6"/>
  <c r="CG27" i="6"/>
  <c r="BY80" i="6"/>
  <c r="BQ45" i="6"/>
  <c r="CG54" i="6"/>
  <c r="CO27" i="6"/>
  <c r="BQ36" i="6"/>
  <c r="CS27" i="6"/>
  <c r="BZ57" i="6"/>
  <c r="BV75" i="6"/>
  <c r="BZ70" i="6"/>
  <c r="CV68" i="6"/>
  <c r="DD71" i="6"/>
  <c r="DD80" i="6"/>
  <c r="CR76" i="6"/>
  <c r="CJ80" i="6"/>
  <c r="BY36" i="6"/>
  <c r="BU63" i="6"/>
  <c r="BU27" i="6"/>
  <c r="BY63" i="6"/>
  <c r="CS77" i="6"/>
  <c r="BQ77" i="6"/>
  <c r="BR80" i="6"/>
  <c r="C80" i="6"/>
  <c r="BZ39" i="6"/>
  <c r="BR61" i="6"/>
  <c r="BQ27" i="6"/>
  <c r="BZ66" i="6"/>
  <c r="BV30" i="6"/>
  <c r="BR21" i="6"/>
  <c r="CD79" i="6"/>
  <c r="DB66" i="6"/>
  <c r="DD78" i="6"/>
  <c r="BY27" i="6"/>
  <c r="CG80" i="6"/>
  <c r="CG63" i="6"/>
  <c r="CX61" i="6"/>
  <c r="BZ75" i="6"/>
  <c r="C79" i="6"/>
  <c r="CL21" i="6"/>
  <c r="BV48" i="6"/>
  <c r="CX25" i="6"/>
  <c r="BR25" i="6"/>
  <c r="CH25" i="6"/>
  <c r="CC27" i="6"/>
  <c r="CZ80" i="6"/>
  <c r="BZ63" i="6"/>
  <c r="CH77" i="6"/>
  <c r="CS80" i="6"/>
  <c r="BV79" i="6"/>
  <c r="CD63" i="6"/>
  <c r="DB70" i="6"/>
  <c r="CH43" i="6"/>
  <c r="BV57" i="6"/>
  <c r="BZ45" i="6"/>
  <c r="CT30" i="6"/>
  <c r="CH57" i="6"/>
  <c r="BZ30" i="6"/>
  <c r="BR48" i="6"/>
  <c r="DB54" i="6"/>
  <c r="BR39" i="6"/>
  <c r="BZ48" i="6"/>
  <c r="CH63" i="6"/>
  <c r="CL39" i="6"/>
  <c r="CR63" i="6"/>
  <c r="CH79" i="6"/>
  <c r="BY54" i="6"/>
  <c r="BU54" i="6"/>
  <c r="CH61" i="6"/>
  <c r="BV72" i="6"/>
  <c r="CP25" i="6"/>
  <c r="BZ25" i="6"/>
  <c r="CV72" i="6"/>
  <c r="CD57" i="6"/>
  <c r="CL48" i="6"/>
  <c r="CZ72" i="6"/>
  <c r="CP18" i="6"/>
  <c r="BR57" i="6"/>
  <c r="BZ61" i="6"/>
  <c r="CV77" i="6"/>
  <c r="CN62" i="6"/>
  <c r="CD36" i="6"/>
  <c r="BV25" i="6"/>
  <c r="CD70" i="6"/>
  <c r="CL66" i="6"/>
  <c r="BY79" i="6"/>
  <c r="CC54" i="6"/>
  <c r="CR72" i="6"/>
  <c r="CG72" i="6"/>
  <c r="BZ72" i="6"/>
  <c r="BQ79" i="6"/>
  <c r="CD61" i="6"/>
  <c r="CL57" i="6"/>
  <c r="BV39" i="6"/>
  <c r="CD21" i="6"/>
  <c r="CZ77" i="6"/>
  <c r="CL36" i="6"/>
  <c r="CF63" i="6"/>
  <c r="CP57" i="6"/>
  <c r="BV61" i="6"/>
  <c r="CD66" i="6"/>
  <c r="CL70" i="6"/>
  <c r="CW27" i="6"/>
  <c r="BR18" i="6"/>
  <c r="CF44" i="6"/>
  <c r="BZ21" i="6"/>
  <c r="BR54" i="6"/>
  <c r="CD43" i="6"/>
  <c r="DA27" i="6"/>
  <c r="CR79" i="6"/>
  <c r="BU77" i="6"/>
  <c r="BV54" i="6"/>
  <c r="BV63" i="6"/>
  <c r="BV70" i="6"/>
  <c r="CH48" i="6"/>
  <c r="CF72" i="6"/>
  <c r="CH39" i="6"/>
  <c r="CZ78" i="6"/>
  <c r="CN44" i="6"/>
  <c r="BV43" i="6"/>
  <c r="CV27" i="6"/>
  <c r="CT36" i="6"/>
  <c r="BR66" i="6"/>
  <c r="CH30" i="6"/>
  <c r="CC79" i="6"/>
  <c r="CK63" i="6"/>
  <c r="CD54" i="6"/>
  <c r="CD18" i="6"/>
  <c r="BZ18" i="6"/>
  <c r="DD76" i="6"/>
  <c r="CL25" i="6"/>
  <c r="CD48" i="6"/>
  <c r="BV21" i="6"/>
  <c r="CF62" i="6"/>
  <c r="BZ36" i="6"/>
  <c r="CD39" i="6"/>
  <c r="CN78" i="6"/>
  <c r="BR70" i="6"/>
  <c r="CX75" i="6"/>
  <c r="DB45" i="6"/>
  <c r="CN35" i="6"/>
  <c r="CR35" i="6"/>
  <c r="CJ17" i="6"/>
  <c r="DD46" i="6"/>
  <c r="CE63" i="6"/>
  <c r="BS79" i="6"/>
  <c r="BS17" i="6"/>
  <c r="BY44" i="6"/>
  <c r="BQ76" i="6"/>
  <c r="CA16" i="6"/>
  <c r="BQ33" i="6"/>
  <c r="BS68" i="6"/>
  <c r="BZ54" i="6"/>
  <c r="CH66" i="6"/>
  <c r="BU50" i="6"/>
  <c r="CO14" i="6"/>
  <c r="CY68" i="6"/>
  <c r="CH54" i="6"/>
  <c r="BS14" i="6"/>
  <c r="BR79" i="6"/>
  <c r="CX66" i="6"/>
  <c r="BV36" i="6"/>
  <c r="BV66" i="6"/>
  <c r="CZ63" i="6"/>
  <c r="CZ37" i="6"/>
  <c r="CV80" i="6"/>
  <c r="CN25" i="6"/>
  <c r="CC33" i="6"/>
  <c r="CW14" i="6"/>
  <c r="CU13" i="6"/>
  <c r="BW60" i="6"/>
  <c r="CK58" i="6"/>
  <c r="BU62" i="6"/>
  <c r="BY15" i="6"/>
  <c r="CJ21" i="6"/>
  <c r="CZ28" i="6"/>
  <c r="CO22" i="6"/>
  <c r="BS75" i="6"/>
  <c r="DA33" i="6"/>
  <c r="BU69" i="6"/>
  <c r="CQ59" i="6"/>
  <c r="BW68" i="6"/>
  <c r="DD66" i="6"/>
  <c r="CF66" i="6"/>
  <c r="BU24" i="6"/>
  <c r="BR36" i="6"/>
  <c r="CE50" i="6"/>
  <c r="CJ55" i="6"/>
  <c r="CQ67" i="6"/>
  <c r="BS53" i="6"/>
  <c r="BS60" i="6"/>
  <c r="CW40" i="6"/>
  <c r="BY71" i="6"/>
  <c r="BY67" i="6"/>
  <c r="CS60" i="6"/>
  <c r="CU59" i="6"/>
  <c r="CN46" i="6"/>
  <c r="CW24" i="6"/>
  <c r="CN21" i="6"/>
  <c r="CR17" i="6"/>
  <c r="CS15" i="6"/>
  <c r="CU50" i="6"/>
  <c r="CO51" i="6"/>
  <c r="DC34" i="6"/>
  <c r="CZ46" i="6"/>
  <c r="BY40" i="6"/>
  <c r="CU68" i="6"/>
  <c r="CS69" i="6"/>
  <c r="BQ59" i="6"/>
  <c r="CN27" i="6"/>
  <c r="CW26" i="6"/>
  <c r="BQ26" i="6"/>
  <c r="CK18" i="6"/>
  <c r="BW16" i="6"/>
  <c r="BQ71" i="6"/>
  <c r="BQ51" i="6"/>
  <c r="BQ65" i="6"/>
  <c r="BQ68" i="6"/>
  <c r="BQ15" i="6"/>
  <c r="BQ56" i="6"/>
  <c r="DC79" i="6"/>
  <c r="DC45" i="6"/>
  <c r="DC44" i="6"/>
  <c r="DC12" i="6"/>
  <c r="CY79" i="6"/>
  <c r="CY77" i="6"/>
  <c r="CY44" i="6"/>
  <c r="CY17" i="6"/>
  <c r="CY62" i="6"/>
  <c r="CU34" i="6"/>
  <c r="CU77" i="6"/>
  <c r="CU25" i="6"/>
  <c r="CU17" i="6"/>
  <c r="CU72" i="6"/>
  <c r="CQ76" i="6"/>
  <c r="CQ45" i="6"/>
  <c r="CQ71" i="6"/>
  <c r="CQ80" i="6"/>
  <c r="CQ35" i="6"/>
  <c r="CQ24" i="6"/>
  <c r="CM61" i="6"/>
  <c r="CI76" i="6"/>
  <c r="CI75" i="6"/>
  <c r="CI74" i="6"/>
  <c r="CI53" i="6"/>
  <c r="CI69" i="6"/>
  <c r="CI44" i="6"/>
  <c r="CE25" i="6"/>
  <c r="CE42" i="6"/>
  <c r="CE44" i="6"/>
  <c r="CE70" i="6"/>
  <c r="CA63" i="6"/>
  <c r="CA43" i="6"/>
  <c r="CA79" i="6"/>
  <c r="CA77" i="6"/>
  <c r="CA42" i="6"/>
  <c r="CA53" i="6"/>
  <c r="CV28" i="6"/>
  <c r="BV77" i="6"/>
  <c r="CW23" i="6"/>
  <c r="DD43" i="6"/>
  <c r="CN52" i="6"/>
  <c r="CD25" i="6"/>
  <c r="BZ43" i="6"/>
  <c r="CN63" i="6"/>
  <c r="CN70" i="6"/>
  <c r="CI52" i="6"/>
  <c r="BS50" i="6"/>
  <c r="BW77" i="6"/>
  <c r="BW49" i="6"/>
  <c r="CK22" i="6"/>
  <c r="CZ66" i="6"/>
  <c r="DD64" i="6"/>
  <c r="CN17" i="6"/>
  <c r="BW41" i="6"/>
  <c r="BY33" i="6"/>
  <c r="CL54" i="6"/>
  <c r="CO62" i="6"/>
  <c r="BW25" i="6"/>
  <c r="BS70" i="6"/>
  <c r="CY41" i="6"/>
  <c r="CR66" i="6"/>
  <c r="CF57" i="6"/>
  <c r="CV64" i="6"/>
  <c r="CF21" i="6"/>
  <c r="CW33" i="6"/>
  <c r="CS40" i="6"/>
  <c r="CE69" i="6"/>
  <c r="BS35" i="6"/>
  <c r="BS80" i="6"/>
  <c r="BS71" i="6"/>
  <c r="CW62" i="6"/>
  <c r="CG22" i="6"/>
  <c r="BQ44" i="6"/>
  <c r="BQ38" i="6"/>
  <c r="BS32" i="6"/>
  <c r="CZ19" i="6"/>
  <c r="DD53" i="6"/>
  <c r="BY24" i="6"/>
  <c r="CG20" i="6"/>
  <c r="CS22" i="6"/>
  <c r="CA50" i="6"/>
  <c r="BU51" i="6"/>
  <c r="CA34" i="6"/>
  <c r="CN64" i="6"/>
  <c r="CG62" i="6"/>
  <c r="CK26" i="6"/>
  <c r="BQ22" i="6"/>
  <c r="BU18" i="6"/>
  <c r="BW12" i="6"/>
  <c r="DC25" i="6"/>
  <c r="DC75" i="6"/>
  <c r="DC72" i="6"/>
  <c r="DC69" i="6"/>
  <c r="DC17" i="6"/>
  <c r="DC71" i="6"/>
  <c r="CY45" i="6"/>
  <c r="CY25" i="6"/>
  <c r="CY75" i="6"/>
  <c r="CY73" i="6"/>
  <c r="CY78" i="6"/>
  <c r="CY74" i="6"/>
  <c r="CU76" i="6"/>
  <c r="CU61" i="6"/>
  <c r="CU53" i="6"/>
  <c r="CU24" i="6"/>
  <c r="CQ70" i="6"/>
  <c r="CQ61" i="6"/>
  <c r="CQ53" i="6"/>
  <c r="CQ77" i="6"/>
  <c r="CQ62" i="6"/>
  <c r="CQ26" i="6"/>
  <c r="CM69" i="6"/>
  <c r="CI79" i="6"/>
  <c r="CI32" i="6"/>
  <c r="CI59" i="6"/>
  <c r="CI62" i="6"/>
  <c r="CI70" i="6"/>
  <c r="CI80" i="6"/>
  <c r="CE77" i="6"/>
  <c r="CE71" i="6"/>
  <c r="CE74" i="6"/>
  <c r="BR43" i="6"/>
  <c r="BQ72" i="6"/>
  <c r="BU40" i="6"/>
  <c r="CK20" i="6"/>
  <c r="CM52" i="6"/>
  <c r="CQ68" i="6"/>
  <c r="DD57" i="6"/>
  <c r="CV19" i="6"/>
  <c r="CZ21" i="6"/>
  <c r="BW59" i="6"/>
  <c r="BV18" i="6"/>
  <c r="CQ78" i="6"/>
  <c r="BS78" i="6"/>
  <c r="CW76" i="6"/>
  <c r="BY76" i="6"/>
  <c r="BQ69" i="6"/>
  <c r="CI68" i="6"/>
  <c r="BS73" i="6"/>
  <c r="CV57" i="6"/>
  <c r="DD35" i="6"/>
  <c r="BW48" i="6"/>
  <c r="DC32" i="6"/>
  <c r="CF19" i="6"/>
  <c r="CY71" i="6"/>
  <c r="CO44" i="6"/>
  <c r="CF27" i="6"/>
  <c r="BS24" i="6"/>
  <c r="BQ78" i="6"/>
  <c r="BQ62" i="6"/>
  <c r="DC43" i="6"/>
  <c r="DC80" i="6"/>
  <c r="DC35" i="6"/>
  <c r="CY80" i="6"/>
  <c r="CY53" i="6"/>
  <c r="CY12" i="6"/>
  <c r="CU63" i="6"/>
  <c r="CU44" i="6"/>
  <c r="CQ34" i="6"/>
  <c r="CQ75" i="6"/>
  <c r="CM45" i="6"/>
  <c r="CI61" i="6"/>
  <c r="CI45" i="6"/>
  <c r="CI42" i="6"/>
  <c r="CI78" i="6"/>
  <c r="CE78" i="6"/>
  <c r="CE45" i="6"/>
  <c r="CE61" i="6"/>
  <c r="CA70" i="6"/>
  <c r="CA25" i="6"/>
  <c r="CA80" i="6"/>
  <c r="CA35" i="6"/>
  <c r="CA72" i="6"/>
  <c r="CZ23" i="6"/>
  <c r="CR73" i="6"/>
  <c r="CN59" i="6"/>
  <c r="DC67" i="6"/>
  <c r="CY31" i="6"/>
  <c r="CU58" i="6"/>
  <c r="CQ31" i="6"/>
  <c r="CM58" i="6"/>
  <c r="CI67" i="6"/>
  <c r="CI13" i="6"/>
  <c r="CE31" i="6"/>
  <c r="CA67" i="6"/>
  <c r="BW31" i="6"/>
  <c r="BS67" i="6"/>
  <c r="DC47" i="6"/>
  <c r="CY38" i="6"/>
  <c r="CY47" i="6"/>
  <c r="CU29" i="6"/>
  <c r="CQ38" i="6"/>
  <c r="CQ65" i="6"/>
  <c r="CI38" i="6"/>
  <c r="CE38" i="6"/>
  <c r="CA65" i="6"/>
  <c r="CA38" i="6"/>
  <c r="BW47" i="6"/>
  <c r="BS65" i="6"/>
  <c r="BS47" i="6"/>
  <c r="CU36" i="6"/>
  <c r="CE36" i="6"/>
  <c r="BW36" i="6"/>
  <c r="CJ23" i="6"/>
  <c r="CI63" i="6"/>
  <c r="CY39" i="6"/>
  <c r="CI49" i="6"/>
  <c r="CY67" i="6"/>
  <c r="CE21" i="6"/>
  <c r="CY43" i="6"/>
  <c r="CA21" i="6"/>
  <c r="DA77" i="6"/>
  <c r="DA62" i="6"/>
  <c r="DA76" i="6"/>
  <c r="DA32" i="6"/>
  <c r="CW45" i="6"/>
  <c r="CW69" i="6"/>
  <c r="CS54" i="6"/>
  <c r="CS32" i="6"/>
  <c r="CS45" i="6"/>
  <c r="CO77" i="6"/>
  <c r="CO69" i="6"/>
  <c r="CO32" i="6"/>
  <c r="CO76" i="6"/>
  <c r="CK54" i="6"/>
  <c r="CK51" i="6"/>
  <c r="CK69" i="6"/>
  <c r="CG79" i="6"/>
  <c r="CG44" i="6"/>
  <c r="CG60" i="6"/>
  <c r="CG59" i="6"/>
  <c r="CC74" i="6"/>
  <c r="CC23" i="6"/>
  <c r="CC68" i="6"/>
  <c r="DC39" i="6"/>
  <c r="CY57" i="6"/>
  <c r="CU66" i="6"/>
  <c r="CQ21" i="6"/>
  <c r="CI57" i="6"/>
  <c r="CE66" i="6"/>
  <c r="BW57" i="6"/>
  <c r="BS21" i="6"/>
  <c r="CW56" i="6"/>
  <c r="CW65" i="6"/>
  <c r="CK56" i="6"/>
  <c r="CG38" i="6"/>
  <c r="DC30" i="6"/>
  <c r="CU30" i="6"/>
  <c r="CM48" i="6"/>
  <c r="CA30" i="6"/>
  <c r="DC26" i="6"/>
  <c r="DA24" i="6"/>
  <c r="CM22" i="6"/>
  <c r="CW20" i="6"/>
  <c r="BY20" i="6"/>
  <c r="CU18" i="6"/>
  <c r="CE18" i="6"/>
  <c r="CQ14" i="6"/>
  <c r="DA68" i="6"/>
  <c r="CK74" i="6"/>
  <c r="CK65" i="6"/>
  <c r="BW21" i="6"/>
  <c r="CO26" i="6"/>
  <c r="CA24" i="6"/>
  <c r="CC18" i="6"/>
  <c r="CI12" i="6"/>
  <c r="CW42" i="6"/>
  <c r="CC69" i="6"/>
  <c r="CG51" i="6"/>
  <c r="BY72" i="6"/>
  <c r="BU80" i="6"/>
  <c r="BS52" i="6"/>
  <c r="BS43" i="6"/>
  <c r="BU78" i="6"/>
  <c r="BQ63" i="6"/>
  <c r="BU79" i="6"/>
  <c r="CU42" i="6"/>
  <c r="CQ69" i="6"/>
  <c r="CL79" i="6"/>
  <c r="CH45" i="6"/>
  <c r="BS45" i="6"/>
  <c r="CK78" i="6"/>
  <c r="BS44" i="6"/>
  <c r="BU36" i="6"/>
  <c r="DB72" i="6"/>
  <c r="DB57" i="6"/>
  <c r="DB25" i="6"/>
  <c r="DB75" i="6"/>
  <c r="DB36" i="6"/>
  <c r="CX45" i="6"/>
  <c r="CX43" i="6"/>
  <c r="CX54" i="6"/>
  <c r="CX21" i="6"/>
  <c r="CX70" i="6"/>
  <c r="CX30" i="6"/>
  <c r="CT54" i="6"/>
  <c r="CT79" i="6"/>
  <c r="CT77" i="6"/>
  <c r="CT70" i="6"/>
  <c r="CT48" i="6"/>
  <c r="CT39" i="6"/>
  <c r="CT18" i="6"/>
  <c r="CP75" i="6"/>
  <c r="CL43" i="6"/>
  <c r="CL18" i="6"/>
  <c r="CV79" i="6"/>
  <c r="BW34" i="6"/>
  <c r="CU35" i="6"/>
  <c r="BW17" i="6"/>
  <c r="CK33" i="6"/>
  <c r="CE34" i="6"/>
  <c r="CA69" i="6"/>
  <c r="BW39" i="6"/>
  <c r="BU60" i="6"/>
  <c r="CR57" i="6"/>
  <c r="CV46" i="6"/>
  <c r="CV17" i="6"/>
  <c r="CE59" i="6"/>
  <c r="CE20" i="6"/>
  <c r="BS42" i="6"/>
  <c r="CW58" i="6"/>
  <c r="BS26" i="6"/>
  <c r="DD17" i="6"/>
  <c r="CR28" i="6"/>
  <c r="CC15" i="6"/>
  <c r="CR64" i="6"/>
  <c r="CV66" i="6"/>
  <c r="BW53" i="6"/>
  <c r="DA26" i="6"/>
  <c r="CS18" i="6"/>
  <c r="BQ58" i="6"/>
  <c r="BQ50" i="6"/>
  <c r="DC61" i="6"/>
  <c r="DC62" i="6"/>
  <c r="DC77" i="6"/>
  <c r="CY61" i="6"/>
  <c r="CY76" i="6"/>
  <c r="CY42" i="6"/>
  <c r="CU70" i="6"/>
  <c r="CU43" i="6"/>
  <c r="CQ72" i="6"/>
  <c r="CQ25" i="6"/>
  <c r="CM80" i="6"/>
  <c r="CI43" i="6"/>
  <c r="CI72" i="6"/>
  <c r="CI35" i="6"/>
  <c r="CE72" i="6"/>
  <c r="CE62" i="6"/>
  <c r="CE80" i="6"/>
  <c r="CE60" i="6"/>
  <c r="CA71" i="6"/>
  <c r="CA61" i="6"/>
  <c r="DD41" i="6"/>
  <c r="CV41" i="6"/>
  <c r="CR68" i="6"/>
  <c r="CR59" i="6"/>
  <c r="CJ28" i="6"/>
  <c r="DC58" i="6"/>
  <c r="DC49" i="6"/>
  <c r="CY22" i="6"/>
  <c r="CU22" i="6"/>
  <c r="CQ58" i="6"/>
  <c r="CM49" i="6"/>
  <c r="CI40" i="6"/>
  <c r="CE40" i="6"/>
  <c r="CE49" i="6"/>
  <c r="CA40" i="6"/>
  <c r="BW67" i="6"/>
  <c r="DC38" i="6"/>
  <c r="CY29" i="6"/>
  <c r="CU65" i="6"/>
  <c r="CQ29" i="6"/>
  <c r="CI65" i="6"/>
  <c r="CI47" i="6"/>
  <c r="CE47" i="6"/>
  <c r="CA56" i="6"/>
  <c r="CA29" i="6"/>
  <c r="BW29" i="6"/>
  <c r="BS56" i="6"/>
  <c r="BS38" i="6"/>
  <c r="DC36" i="6"/>
  <c r="CU54" i="6"/>
  <c r="CE54" i="6"/>
  <c r="BW54" i="6"/>
  <c r="CY24" i="6"/>
  <c r="CQ20" i="6"/>
  <c r="CE43" i="6"/>
  <c r="CQ66" i="6"/>
  <c r="CE26" i="6"/>
  <c r="DC13" i="6"/>
  <c r="DC53" i="6"/>
  <c r="DC78" i="6"/>
  <c r="CG41" i="6"/>
  <c r="CC50" i="6"/>
  <c r="BY58" i="6"/>
  <c r="DA36" i="6"/>
  <c r="DA79" i="6"/>
  <c r="DA54" i="6"/>
  <c r="DA44" i="6"/>
  <c r="CW72" i="6"/>
  <c r="CW80" i="6"/>
  <c r="CW60" i="6"/>
  <c r="CW79" i="6"/>
  <c r="CS62" i="6"/>
  <c r="CS74" i="6"/>
  <c r="CS36" i="6"/>
  <c r="CS41" i="6"/>
  <c r="CS14" i="6"/>
  <c r="CO63" i="6"/>
  <c r="CO72" i="6"/>
  <c r="CO36" i="6"/>
  <c r="CO68" i="6"/>
  <c r="CK42" i="6"/>
  <c r="CK14" i="6"/>
  <c r="CG69" i="6"/>
  <c r="CG45" i="6"/>
  <c r="CG76" i="6"/>
  <c r="CC77" i="6"/>
  <c r="CC72" i="6"/>
  <c r="CC32" i="6"/>
  <c r="CC60" i="6"/>
  <c r="CW67" i="6"/>
  <c r="CC58" i="6"/>
  <c r="DC21" i="6"/>
  <c r="CY21" i="6"/>
  <c r="CU21" i="6"/>
  <c r="CM57" i="6"/>
  <c r="CI39" i="6"/>
  <c r="CE57" i="6"/>
  <c r="BW66" i="6"/>
  <c r="DA65" i="6"/>
  <c r="CW38" i="6"/>
  <c r="CS65" i="6"/>
  <c r="CK38" i="6"/>
  <c r="CG65" i="6"/>
  <c r="CC38" i="6"/>
  <c r="BY38" i="6"/>
  <c r="BU38" i="6"/>
  <c r="DC48" i="6"/>
  <c r="CU48" i="6"/>
  <c r="CI48" i="6"/>
  <c r="CA48" i="6"/>
  <c r="CU26" i="6"/>
  <c r="CS24" i="6"/>
  <c r="BW22" i="6"/>
  <c r="CS20" i="6"/>
  <c r="BU20" i="6"/>
  <c r="CQ18" i="6"/>
  <c r="CA18" i="6"/>
  <c r="CK50" i="6"/>
  <c r="CE12" i="6"/>
  <c r="CG18" i="6"/>
  <c r="CO71" i="6"/>
  <c r="CG26" i="6"/>
  <c r="CU20" i="6"/>
  <c r="CI16" i="6"/>
  <c r="CA12" i="6"/>
  <c r="CS42" i="6"/>
  <c r="BY74" i="6"/>
  <c r="CW51" i="6"/>
  <c r="BV45" i="6"/>
  <c r="BV80" i="6"/>
  <c r="BW45" i="6"/>
  <c r="F80" i="6"/>
  <c r="BW79" i="6"/>
  <c r="BQ80" i="6"/>
  <c r="BS59" i="6"/>
  <c r="CU74" i="6"/>
  <c r="CM42" i="6"/>
  <c r="CL80" i="6"/>
  <c r="CD45" i="6"/>
  <c r="BS61" i="6"/>
  <c r="DC50" i="6"/>
  <c r="CD77" i="6"/>
  <c r="CU71" i="6"/>
  <c r="CN80" i="6"/>
  <c r="DB63" i="6"/>
  <c r="DB27" i="6"/>
  <c r="DB21" i="6"/>
  <c r="DB18" i="6"/>
  <c r="DB30" i="6"/>
  <c r="CX80" i="6"/>
  <c r="CX79" i="6"/>
  <c r="CX57" i="6"/>
  <c r="CX39" i="6"/>
  <c r="CT72" i="6"/>
  <c r="CT75" i="6"/>
  <c r="CT61" i="6"/>
  <c r="CT21" i="6"/>
  <c r="CT57" i="6"/>
  <c r="CP77" i="6"/>
  <c r="CP66" i="6"/>
  <c r="CM71" i="6"/>
  <c r="CM25" i="6"/>
  <c r="CM43" i="6"/>
  <c r="CM74" i="6"/>
  <c r="CM77" i="6"/>
  <c r="BR30" i="6"/>
  <c r="CW18" i="6"/>
  <c r="CM59" i="6"/>
  <c r="CC22" i="6"/>
  <c r="CO40" i="6"/>
  <c r="BS72" i="6"/>
  <c r="CG40" i="6"/>
  <c r="CM50" i="6"/>
  <c r="CI41" i="6"/>
  <c r="CZ27" i="6"/>
  <c r="BQ18" i="6"/>
  <c r="BQ60" i="6"/>
  <c r="BQ67" i="6"/>
  <c r="DC76" i="6"/>
  <c r="CY72" i="6"/>
  <c r="CU75" i="6"/>
  <c r="CU60" i="6"/>
  <c r="CM35" i="6"/>
  <c r="CE75" i="6"/>
  <c r="CA73" i="6"/>
  <c r="CA76" i="6"/>
  <c r="DD68" i="6"/>
  <c r="CR41" i="6"/>
  <c r="CY40" i="6"/>
  <c r="CU31" i="6"/>
  <c r="CM13" i="6"/>
  <c r="CE58" i="6"/>
  <c r="CA13" i="6"/>
  <c r="DC29" i="6"/>
  <c r="CY56" i="6"/>
  <c r="CU56" i="6"/>
  <c r="CI56" i="6"/>
  <c r="CE65" i="6"/>
  <c r="BW38" i="6"/>
  <c r="BS29" i="6"/>
  <c r="CQ54" i="6"/>
  <c r="BS36" i="6"/>
  <c r="DD23" i="6"/>
  <c r="CQ44" i="6"/>
  <c r="CA66" i="6"/>
  <c r="CE17" i="6"/>
  <c r="CY60" i="6"/>
  <c r="CG32" i="6"/>
  <c r="CC45" i="6"/>
  <c r="DA63" i="6"/>
  <c r="DA78" i="6"/>
  <c r="DA74" i="6"/>
  <c r="CS72" i="6"/>
  <c r="CS78" i="6"/>
  <c r="CO45" i="6"/>
  <c r="CO74" i="6"/>
  <c r="CK72" i="6"/>
  <c r="CK60" i="6"/>
  <c r="CG36" i="6"/>
  <c r="CC78" i="6"/>
  <c r="CC42" i="6"/>
  <c r="BU58" i="6"/>
  <c r="CY66" i="6"/>
  <c r="CM66" i="6"/>
  <c r="CA39" i="6"/>
  <c r="DA38" i="6"/>
  <c r="CS38" i="6"/>
  <c r="CO38" i="6"/>
  <c r="CQ48" i="6"/>
  <c r="BS30" i="6"/>
  <c r="CO24" i="6"/>
  <c r="BS22" i="6"/>
  <c r="DC18" i="6"/>
  <c r="BW18" i="6"/>
  <c r="CK23" i="6"/>
  <c r="CS44" i="6"/>
  <c r="DC24" i="6"/>
  <c r="CU12" i="6"/>
  <c r="CO60" i="6"/>
  <c r="CO33" i="6"/>
  <c r="CZ53" i="6"/>
  <c r="BR45" i="6"/>
  <c r="CD80" i="6"/>
  <c r="BW43" i="6"/>
  <c r="BW63" i="6"/>
  <c r="DC42" i="6"/>
  <c r="CA74" i="6"/>
  <c r="BZ80" i="6"/>
  <c r="CI71" i="6"/>
  <c r="DB79" i="6"/>
  <c r="DB77" i="6"/>
  <c r="DB43" i="6"/>
  <c r="CT63" i="6"/>
  <c r="CT27" i="6"/>
  <c r="CT43" i="6"/>
  <c r="CP79" i="6"/>
  <c r="CP36" i="6"/>
  <c r="CP61" i="6"/>
  <c r="CM20" i="6"/>
  <c r="CM79" i="6"/>
  <c r="CM29" i="6"/>
  <c r="CM56" i="6"/>
  <c r="CM62" i="6"/>
  <c r="CM54" i="6"/>
  <c r="CJ63" i="6"/>
  <c r="CJ68" i="6"/>
  <c r="CJ57" i="6"/>
  <c r="CJ34" i="6"/>
  <c r="CJ62" i="6"/>
  <c r="CF73" i="6"/>
  <c r="CF53" i="6"/>
  <c r="CR43" i="6"/>
  <c r="DD21" i="6"/>
  <c r="DA18" i="6"/>
  <c r="CI31" i="6"/>
  <c r="CH18" i="6"/>
  <c r="CY13" i="6"/>
  <c r="BS25" i="6"/>
  <c r="CO15" i="6"/>
  <c r="BS62" i="6"/>
  <c r="BQ40" i="6"/>
  <c r="CA68" i="6"/>
  <c r="CG24" i="6"/>
  <c r="CW15" i="6"/>
  <c r="DD55" i="6"/>
  <c r="CS26" i="6"/>
  <c r="BQ14" i="6"/>
  <c r="DC63" i="6"/>
  <c r="DC74" i="6"/>
  <c r="CY63" i="6"/>
  <c r="CU80" i="6"/>
  <c r="CQ79" i="6"/>
  <c r="CQ63" i="6"/>
  <c r="CM53" i="6"/>
  <c r="CE79" i="6"/>
  <c r="CE35" i="6"/>
  <c r="CA45" i="6"/>
  <c r="CA60" i="6"/>
  <c r="CZ41" i="6"/>
  <c r="CR46" i="6"/>
  <c r="CY58" i="6"/>
  <c r="CQ40" i="6"/>
  <c r="CM40" i="6"/>
  <c r="CE67" i="6"/>
  <c r="BW40" i="6"/>
  <c r="DC56" i="6"/>
  <c r="CY65" i="6"/>
  <c r="BW65" i="6"/>
  <c r="CI36" i="6"/>
  <c r="BS54" i="6"/>
  <c r="CN23" i="6"/>
  <c r="BW13" i="6"/>
  <c r="CE22" i="6"/>
  <c r="CI77" i="6"/>
  <c r="BW30" i="6"/>
  <c r="DA72" i="6"/>
  <c r="DA15" i="6"/>
  <c r="CW78" i="6"/>
  <c r="CW71" i="6"/>
  <c r="CS63" i="6"/>
  <c r="CO54" i="6"/>
  <c r="CK44" i="6"/>
  <c r="CK79" i="6"/>
  <c r="CG78" i="6"/>
  <c r="CG14" i="6"/>
  <c r="CC63" i="6"/>
  <c r="CU57" i="6"/>
  <c r="CI21" i="6"/>
  <c r="CA57" i="6"/>
  <c r="CS56" i="6"/>
  <c r="CO56" i="6"/>
  <c r="CG56" i="6"/>
  <c r="BY56" i="6"/>
  <c r="CQ30" i="6"/>
  <c r="CK24" i="6"/>
  <c r="DA20" i="6"/>
  <c r="CY18" i="6"/>
  <c r="BS18" i="6"/>
  <c r="CO23" i="6"/>
  <c r="CE24" i="6"/>
  <c r="CQ12" i="6"/>
  <c r="CG42" i="6"/>
  <c r="CK15" i="6"/>
  <c r="BY77" i="6"/>
  <c r="BY78" i="6"/>
  <c r="BU72" i="6"/>
  <c r="BZ79" i="6"/>
  <c r="CY69" i="6"/>
  <c r="BW69" i="6"/>
  <c r="BW61" i="6"/>
  <c r="DB39" i="6"/>
  <c r="CX77" i="6"/>
  <c r="CX63" i="6"/>
  <c r="CX72" i="6"/>
  <c r="CX27" i="6"/>
  <c r="CX18" i="6"/>
  <c r="CP63" i="6"/>
  <c r="CP45" i="6"/>
  <c r="CP43" i="6"/>
  <c r="CP54" i="6"/>
  <c r="CP21" i="6"/>
  <c r="CM75" i="6"/>
  <c r="CM38" i="6"/>
  <c r="CM36" i="6"/>
  <c r="CM76" i="6"/>
  <c r="CM44" i="6"/>
  <c r="CM72" i="6"/>
  <c r="CM39" i="6"/>
  <c r="CJ45" i="6"/>
  <c r="CJ71" i="6"/>
  <c r="CJ79" i="6"/>
  <c r="CJ75" i="6"/>
  <c r="CJ78" i="6"/>
  <c r="CF35" i="6"/>
  <c r="CF61" i="6"/>
  <c r="CF78" i="6"/>
  <c r="CE14" i="6"/>
  <c r="BW72" i="6"/>
  <c r="CM31" i="6"/>
  <c r="BW52" i="6"/>
  <c r="CQ47" i="6"/>
  <c r="BS13" i="6"/>
  <c r="CQ43" i="6"/>
  <c r="CN37" i="6"/>
  <c r="CA22" i="6"/>
  <c r="CC51" i="6"/>
  <c r="CU52" i="6"/>
  <c r="BY65" i="6"/>
  <c r="BY26" i="6"/>
  <c r="CF46" i="6"/>
  <c r="BQ42" i="6"/>
  <c r="DC70" i="6"/>
  <c r="CY59" i="6"/>
  <c r="CU41" i="6"/>
  <c r="CQ60" i="6"/>
  <c r="CQ74" i="6"/>
  <c r="CI24" i="6"/>
  <c r="CE76" i="6"/>
  <c r="CA62" i="6"/>
  <c r="CA17" i="6"/>
  <c r="CV73" i="6"/>
  <c r="CN73" i="6"/>
  <c r="DC31" i="6"/>
  <c r="CY49" i="6"/>
  <c r="CQ49" i="6"/>
  <c r="CI22" i="6"/>
  <c r="CA31" i="6"/>
  <c r="BS40" i="6"/>
  <c r="DC65" i="6"/>
  <c r="CU38" i="6"/>
  <c r="CE56" i="6"/>
  <c r="BW56" i="6"/>
  <c r="DC54" i="6"/>
  <c r="CA54" i="6"/>
  <c r="CI20" i="6"/>
  <c r="CU78" i="6"/>
  <c r="CI30" i="6"/>
  <c r="CK59" i="6"/>
  <c r="DA80" i="6"/>
  <c r="DA71" i="6"/>
  <c r="DA23" i="6"/>
  <c r="CW77" i="6"/>
  <c r="CW36" i="6"/>
  <c r="CS71" i="6"/>
  <c r="CO80" i="6"/>
  <c r="CO79" i="6"/>
  <c r="CK77" i="6"/>
  <c r="CK45" i="6"/>
  <c r="CK41" i="6"/>
  <c r="CG77" i="6"/>
  <c r="CC80" i="6"/>
  <c r="CC62" i="6"/>
  <c r="CS58" i="6"/>
  <c r="DC66" i="6"/>
  <c r="CQ57" i="6"/>
  <c r="CI66" i="6"/>
  <c r="BS39" i="6"/>
  <c r="CC56" i="6"/>
  <c r="CY30" i="6"/>
  <c r="CE48" i="6"/>
  <c r="CI26" i="6"/>
  <c r="CO20" i="6"/>
  <c r="CM18" i="6"/>
  <c r="CK80" i="6"/>
  <c r="BS20" i="6"/>
  <c r="BS12" i="6"/>
  <c r="BU42" i="6"/>
  <c r="BR63" i="6"/>
  <c r="BW62" i="6"/>
  <c r="BU76" i="6"/>
  <c r="CU69" i="6"/>
  <c r="CH80" i="6"/>
  <c r="CW44" i="6"/>
  <c r="BS76" i="6"/>
  <c r="DB80" i="6"/>
  <c r="DB48" i="6"/>
  <c r="CT80" i="6"/>
  <c r="CT25" i="6"/>
  <c r="CP72" i="6"/>
  <c r="CM78" i="6"/>
  <c r="CM47" i="6"/>
  <c r="CM60" i="6"/>
  <c r="CM26" i="6"/>
  <c r="CM63" i="6"/>
  <c r="CM12" i="6"/>
  <c r="CM21" i="6"/>
  <c r="CJ53" i="6"/>
  <c r="CJ73" i="6"/>
  <c r="CJ35" i="6"/>
  <c r="CJ43" i="6"/>
  <c r="CJ59" i="6"/>
  <c r="CF59" i="6"/>
  <c r="CF17" i="6"/>
  <c r="CX71" i="6"/>
  <c r="CX13" i="6"/>
  <c r="CX26" i="6"/>
  <c r="CX51" i="6"/>
  <c r="CX44" i="6"/>
  <c r="CX35" i="6"/>
  <c r="CX49" i="6"/>
  <c r="CX17" i="6"/>
  <c r="CX69" i="6"/>
  <c r="CX22" i="6"/>
  <c r="CX76" i="6"/>
  <c r="CX15" i="6"/>
  <c r="CX58" i="6"/>
  <c r="CX31" i="6"/>
  <c r="CX53" i="6"/>
  <c r="CX42" i="6"/>
  <c r="CX33" i="6"/>
  <c r="CX62" i="6"/>
  <c r="CX67" i="6"/>
  <c r="CX78" i="6"/>
  <c r="CX74" i="6"/>
  <c r="CP71" i="6"/>
  <c r="CP60" i="6"/>
  <c r="CP31" i="6"/>
  <c r="CP22" i="6"/>
  <c r="CP58" i="6"/>
  <c r="CP13" i="6"/>
  <c r="CP15" i="6"/>
  <c r="CP42" i="6"/>
  <c r="CP40" i="6"/>
  <c r="CP53" i="6"/>
  <c r="CP67" i="6"/>
  <c r="CP78" i="6"/>
  <c r="CP44" i="6"/>
  <c r="CP69" i="6"/>
  <c r="CP17" i="6"/>
  <c r="CP62" i="6"/>
  <c r="CP33" i="6"/>
  <c r="CP35" i="6"/>
  <c r="CP26" i="6"/>
  <c r="CH76" i="6"/>
  <c r="CH62" i="6"/>
  <c r="CH74" i="6"/>
  <c r="CH71" i="6"/>
  <c r="CH35" i="6"/>
  <c r="CH78" i="6"/>
  <c r="CH69" i="6"/>
  <c r="CH26" i="6"/>
  <c r="CH42" i="6"/>
  <c r="CH31" i="6"/>
  <c r="CH53" i="6"/>
  <c r="CH58" i="6"/>
  <c r="CH22" i="6"/>
  <c r="CH17" i="6"/>
  <c r="CH49" i="6"/>
  <c r="CH13" i="6"/>
  <c r="CH44" i="6"/>
  <c r="CH51" i="6"/>
  <c r="CH60" i="6"/>
  <c r="CH40" i="6"/>
  <c r="BZ78" i="6"/>
  <c r="BZ44" i="6"/>
  <c r="BZ62" i="6"/>
  <c r="BZ60" i="6"/>
  <c r="BZ71" i="6"/>
  <c r="BZ42" i="6"/>
  <c r="BZ26" i="6"/>
  <c r="BZ74" i="6"/>
  <c r="BZ22" i="6"/>
  <c r="BZ53" i="6"/>
  <c r="BZ69" i="6"/>
  <c r="BZ58" i="6"/>
  <c r="BZ33" i="6"/>
  <c r="BZ67" i="6"/>
  <c r="BZ17" i="6"/>
  <c r="BZ35" i="6"/>
  <c r="BZ49" i="6"/>
  <c r="BZ15" i="6"/>
  <c r="BZ13" i="6"/>
  <c r="BR60" i="6"/>
  <c r="BR26" i="6"/>
  <c r="BR71" i="6"/>
  <c r="BR69" i="6"/>
  <c r="BR58" i="6"/>
  <c r="BR53" i="6"/>
  <c r="BR62" i="6"/>
  <c r="BR74" i="6"/>
  <c r="BR22" i="6"/>
  <c r="BR44" i="6"/>
  <c r="BR42" i="6"/>
  <c r="BR51" i="6"/>
  <c r="BR76" i="6"/>
  <c r="BR67" i="6"/>
  <c r="BR15" i="6"/>
  <c r="BR33" i="6"/>
  <c r="BR31" i="6"/>
  <c r="BR17" i="6"/>
  <c r="BR13" i="6"/>
  <c r="BR78" i="6"/>
  <c r="BR35" i="6"/>
  <c r="BR49" i="6"/>
  <c r="CW61" i="6"/>
  <c r="CW43" i="6"/>
  <c r="CW64" i="6"/>
  <c r="CW10" i="6"/>
  <c r="CW19" i="6"/>
  <c r="CW34" i="6"/>
  <c r="CW55" i="6"/>
  <c r="CW16" i="6"/>
  <c r="CW28" i="6"/>
  <c r="CW70" i="6"/>
  <c r="CW75" i="6"/>
  <c r="CW37" i="6"/>
  <c r="CW46" i="6"/>
  <c r="CO75" i="6"/>
  <c r="CO61" i="6"/>
  <c r="CO70" i="6"/>
  <c r="CO10" i="6"/>
  <c r="CO64" i="6"/>
  <c r="CO52" i="6"/>
  <c r="CO19" i="6"/>
  <c r="CO73" i="6"/>
  <c r="CO37" i="6"/>
  <c r="CO28" i="6"/>
  <c r="CO43" i="6"/>
  <c r="CO55" i="6"/>
  <c r="CO16" i="6"/>
  <c r="CG61" i="6"/>
  <c r="CG43" i="6"/>
  <c r="CG55" i="6"/>
  <c r="CG46" i="6"/>
  <c r="CG75" i="6"/>
  <c r="CG64" i="6"/>
  <c r="CG28" i="6"/>
  <c r="CG19" i="6"/>
  <c r="CG73" i="6"/>
  <c r="CG10" i="6"/>
  <c r="CG34" i="6"/>
  <c r="BY70" i="6"/>
  <c r="BY61" i="6"/>
  <c r="BY75" i="6"/>
  <c r="BY43" i="6"/>
  <c r="BY73" i="6"/>
  <c r="BY46" i="6"/>
  <c r="BY10" i="6"/>
  <c r="BY28" i="6"/>
  <c r="BY55" i="6"/>
  <c r="BY19" i="6"/>
  <c r="BY64" i="6"/>
  <c r="DD38" i="6"/>
  <c r="DD69" i="6"/>
  <c r="DD33" i="6"/>
  <c r="DD47" i="6"/>
  <c r="DD51" i="6"/>
  <c r="DD60" i="6"/>
  <c r="DD74" i="6"/>
  <c r="DD11" i="6"/>
  <c r="DD15" i="6"/>
  <c r="CV38" i="6"/>
  <c r="CV60" i="6"/>
  <c r="CV69" i="6"/>
  <c r="CV33" i="6"/>
  <c r="CV47" i="6"/>
  <c r="CV15" i="6"/>
  <c r="CV29" i="6"/>
  <c r="CV51" i="6"/>
  <c r="CR74" i="6"/>
  <c r="CR20" i="6"/>
  <c r="CR24" i="6"/>
  <c r="CR69" i="6"/>
  <c r="CR65" i="6"/>
  <c r="CR42" i="6"/>
  <c r="CR29" i="6"/>
  <c r="CR15" i="6"/>
  <c r="CR51" i="6"/>
  <c r="CR11" i="6"/>
  <c r="CR33" i="6"/>
  <c r="CR56" i="6"/>
  <c r="CJ20" i="6"/>
  <c r="CJ15" i="6"/>
  <c r="CJ74" i="6"/>
  <c r="CJ69" i="6"/>
  <c r="CJ33" i="6"/>
  <c r="CF38" i="6"/>
  <c r="CF33" i="6"/>
  <c r="CF47" i="6"/>
  <c r="CF11" i="6"/>
  <c r="CF74" i="6"/>
  <c r="CF51" i="6"/>
  <c r="CF15" i="6"/>
  <c r="CF69" i="6"/>
  <c r="CF42" i="6"/>
  <c r="CF60" i="6"/>
  <c r="CB65" i="6"/>
  <c r="CB42" i="6"/>
  <c r="CB74" i="6"/>
  <c r="CB24" i="6"/>
  <c r="CB60" i="6"/>
  <c r="CB38" i="6"/>
  <c r="CB56" i="6"/>
  <c r="CB20" i="6"/>
  <c r="CB69" i="6"/>
  <c r="CB47" i="6"/>
  <c r="CB15" i="6"/>
  <c r="CB33" i="6"/>
  <c r="BX38" i="6"/>
  <c r="BX42" i="6"/>
  <c r="BX56" i="6"/>
  <c r="BX60" i="6"/>
  <c r="BX65" i="6"/>
  <c r="BX15" i="6"/>
  <c r="BX74" i="6"/>
  <c r="BX20" i="6"/>
  <c r="BX24" i="6"/>
  <c r="BX11" i="6"/>
  <c r="BX33" i="6"/>
  <c r="BX51" i="6"/>
  <c r="BX69" i="6"/>
  <c r="BX29" i="6"/>
  <c r="BT38" i="6"/>
  <c r="BT56" i="6"/>
  <c r="BT24" i="6"/>
  <c r="BT65" i="6"/>
  <c r="BT20" i="6"/>
  <c r="BT15" i="6"/>
  <c r="BT60" i="6"/>
  <c r="BT74" i="6"/>
  <c r="BT69" i="6"/>
  <c r="BT42" i="6"/>
  <c r="BT33" i="6"/>
  <c r="BT47" i="6"/>
  <c r="BT51" i="6"/>
  <c r="DB73" i="6"/>
  <c r="DB50" i="6"/>
  <c r="DB64" i="6"/>
  <c r="DB68" i="6"/>
  <c r="DB32" i="6"/>
  <c r="DB19" i="6"/>
  <c r="DB37" i="6"/>
  <c r="DB59" i="6"/>
  <c r="DB23" i="6"/>
  <c r="CT23" i="6"/>
  <c r="CT68" i="6"/>
  <c r="CT37" i="6"/>
  <c r="CT14" i="6"/>
  <c r="CT73" i="6"/>
  <c r="CT19" i="6"/>
  <c r="CT32" i="6"/>
  <c r="CT50" i="6"/>
  <c r="CT64" i="6"/>
  <c r="CT55" i="6"/>
  <c r="CL68" i="6"/>
  <c r="CL32" i="6"/>
  <c r="CL73" i="6"/>
  <c r="CL19" i="6"/>
  <c r="CL64" i="6"/>
  <c r="CL41" i="6"/>
  <c r="CL14" i="6"/>
  <c r="CL55" i="6"/>
  <c r="CL59" i="6"/>
  <c r="CL50" i="6"/>
  <c r="CH23" i="6"/>
  <c r="CH41" i="6"/>
  <c r="CH73" i="6"/>
  <c r="CH32" i="6"/>
  <c r="CH68" i="6"/>
  <c r="CH14" i="6"/>
  <c r="BZ73" i="6"/>
  <c r="BZ19" i="6"/>
  <c r="BZ64" i="6"/>
  <c r="BZ68" i="6"/>
  <c r="BZ32" i="6"/>
  <c r="BZ23" i="6"/>
  <c r="BZ14" i="6"/>
  <c r="BZ50" i="6"/>
  <c r="BZ59" i="6"/>
  <c r="BZ41" i="6"/>
  <c r="BV73" i="6"/>
  <c r="BV68" i="6"/>
  <c r="BV14" i="6"/>
  <c r="BV59" i="6"/>
  <c r="BV50" i="6"/>
  <c r="BV32" i="6"/>
  <c r="BV55" i="6"/>
  <c r="BV23" i="6"/>
  <c r="BR73" i="6"/>
  <c r="BR50" i="6"/>
  <c r="BR59" i="6"/>
  <c r="BR68" i="6"/>
  <c r="BR41" i="6"/>
  <c r="BR32" i="6"/>
  <c r="DD58" i="6"/>
  <c r="DD40" i="6"/>
  <c r="DD13" i="6"/>
  <c r="DD31" i="6"/>
  <c r="CZ67" i="6"/>
  <c r="CZ58" i="6"/>
  <c r="CZ31" i="6"/>
  <c r="CZ13" i="6"/>
  <c r="CV31" i="6"/>
  <c r="CV49" i="6"/>
  <c r="CR40" i="6"/>
  <c r="CR67" i="6"/>
  <c r="CR49" i="6"/>
  <c r="CR13" i="6"/>
  <c r="CJ13" i="6"/>
  <c r="CJ67" i="6"/>
  <c r="CB58" i="6"/>
  <c r="CB67" i="6"/>
  <c r="CB13" i="6"/>
  <c r="CB40" i="6"/>
  <c r="CB49" i="6"/>
  <c r="BT67" i="6"/>
  <c r="BT40" i="6"/>
  <c r="BT13" i="6"/>
  <c r="BT49" i="6"/>
  <c r="BT58" i="6"/>
  <c r="DA66" i="6"/>
  <c r="DA57" i="6"/>
  <c r="DA39" i="6"/>
  <c r="DA30" i="6"/>
  <c r="CS39" i="6"/>
  <c r="CS30" i="6"/>
  <c r="CS66" i="6"/>
  <c r="CS48" i="6"/>
  <c r="CS12" i="6"/>
  <c r="CG30" i="6"/>
  <c r="CG39" i="6"/>
  <c r="CG57" i="6"/>
  <c r="CG48" i="6"/>
  <c r="CG66" i="6"/>
  <c r="BY66" i="6"/>
  <c r="BY57" i="6"/>
  <c r="BY48" i="6"/>
  <c r="BY30" i="6"/>
  <c r="BY39" i="6"/>
  <c r="BQ48" i="6"/>
  <c r="BQ39" i="6"/>
  <c r="BQ66" i="6"/>
  <c r="BQ30" i="6"/>
  <c r="BQ57" i="6"/>
  <c r="CT56" i="6"/>
  <c r="CT65" i="6"/>
  <c r="CT11" i="6"/>
  <c r="CT47" i="6"/>
  <c r="CT29" i="6"/>
  <c r="CT38" i="6"/>
  <c r="CL47" i="6"/>
  <c r="CL38" i="6"/>
  <c r="CL29" i="6"/>
  <c r="CL65" i="6"/>
  <c r="CL56" i="6"/>
  <c r="CL11" i="6"/>
  <c r="CD47" i="6"/>
  <c r="CD38" i="6"/>
  <c r="CD29" i="6"/>
  <c r="CD65" i="6"/>
  <c r="CD11" i="6"/>
  <c r="BV29" i="6"/>
  <c r="BV65" i="6"/>
  <c r="BV56" i="6"/>
  <c r="BV38" i="6"/>
  <c r="BV47" i="6"/>
  <c r="DC55" i="6"/>
  <c r="DC28" i="6"/>
  <c r="DC37" i="6"/>
  <c r="DC46" i="6"/>
  <c r="DC64" i="6"/>
  <c r="DC10" i="6"/>
  <c r="CU55" i="6"/>
  <c r="CU10" i="6"/>
  <c r="CU46" i="6"/>
  <c r="CU37" i="6"/>
  <c r="CU64" i="6"/>
  <c r="CU28" i="6"/>
  <c r="CI55" i="6"/>
  <c r="CI37" i="6"/>
  <c r="CI64" i="6"/>
  <c r="CI28" i="6"/>
  <c r="CI46" i="6"/>
  <c r="DD54" i="6"/>
  <c r="CV54" i="6"/>
  <c r="CV36" i="6"/>
  <c r="CN36" i="6"/>
  <c r="CF54" i="6"/>
  <c r="CF36" i="6"/>
  <c r="CB36" i="6"/>
  <c r="CB54" i="6"/>
  <c r="BT36" i="6"/>
  <c r="BT54" i="6"/>
  <c r="DA35" i="6"/>
  <c r="DA53" i="6"/>
  <c r="CK35" i="6"/>
  <c r="CC35" i="6"/>
  <c r="CC53" i="6"/>
  <c r="BY35" i="6"/>
  <c r="BY53" i="6"/>
  <c r="BQ35" i="6"/>
  <c r="BQ53" i="6"/>
  <c r="CX52" i="6"/>
  <c r="CX34" i="6"/>
  <c r="CP34" i="6"/>
  <c r="CP52" i="6"/>
  <c r="CH34" i="6"/>
  <c r="CH52" i="6"/>
  <c r="BZ52" i="6"/>
  <c r="BZ34" i="6"/>
  <c r="BV34" i="6"/>
  <c r="BV52" i="6"/>
  <c r="DC51" i="6"/>
  <c r="DC33" i="6"/>
  <c r="CY51" i="6"/>
  <c r="CY33" i="6"/>
  <c r="CQ33" i="6"/>
  <c r="CI33" i="6"/>
  <c r="CI51" i="6"/>
  <c r="CE33" i="6"/>
  <c r="CE51" i="6"/>
  <c r="BW33" i="6"/>
  <c r="BW51" i="6"/>
  <c r="BS51" i="6"/>
  <c r="BS33" i="6"/>
  <c r="CZ32" i="6"/>
  <c r="CR32" i="6"/>
  <c r="CR50" i="6"/>
  <c r="CJ32" i="6"/>
  <c r="CJ50" i="6"/>
  <c r="CB50" i="6"/>
  <c r="CB32" i="6"/>
  <c r="BT50" i="6"/>
  <c r="BT32" i="6"/>
  <c r="DA31" i="6"/>
  <c r="DA49" i="6"/>
  <c r="CS31" i="6"/>
  <c r="CS49" i="6"/>
  <c r="CG31" i="6"/>
  <c r="CG49" i="6"/>
  <c r="BU49" i="6"/>
  <c r="BU31" i="6"/>
  <c r="CN12" i="6"/>
  <c r="CJ30" i="6"/>
  <c r="CJ48" i="6"/>
  <c r="CJ12" i="6"/>
  <c r="CB12" i="6"/>
  <c r="CB48" i="6"/>
  <c r="CB30" i="6"/>
  <c r="BT12" i="6"/>
  <c r="BT30" i="6"/>
  <c r="BT48" i="6"/>
  <c r="DA11" i="6"/>
  <c r="DA29" i="6"/>
  <c r="DA47" i="6"/>
  <c r="CW11" i="6"/>
  <c r="CW29" i="6"/>
  <c r="CS47" i="6"/>
  <c r="CS11" i="6"/>
  <c r="CS29" i="6"/>
  <c r="CO47" i="6"/>
  <c r="CO11" i="6"/>
  <c r="CO29" i="6"/>
  <c r="CK11" i="6"/>
  <c r="CK29" i="6"/>
  <c r="CG47" i="6"/>
  <c r="CG11" i="6"/>
  <c r="CG29" i="6"/>
  <c r="BY29" i="6"/>
  <c r="BY47" i="6"/>
  <c r="BY11" i="6"/>
  <c r="BQ47" i="6"/>
  <c r="BQ29" i="6"/>
  <c r="BQ11" i="6"/>
  <c r="CX28" i="6"/>
  <c r="CX10" i="6"/>
  <c r="CP10" i="6"/>
  <c r="CP46" i="6"/>
  <c r="CH28" i="6"/>
  <c r="CH46" i="6"/>
  <c r="CD28" i="6"/>
  <c r="CD46" i="6"/>
  <c r="BV46" i="6"/>
  <c r="BV28" i="6"/>
  <c r="BV10" i="6"/>
  <c r="BR28" i="6"/>
  <c r="BR10" i="6"/>
  <c r="BR46" i="6"/>
  <c r="CY27" i="6"/>
  <c r="CQ27" i="6"/>
  <c r="CE27" i="6"/>
  <c r="BW27" i="6"/>
  <c r="CZ26" i="6"/>
  <c r="CR26" i="6"/>
  <c r="CJ26" i="6"/>
  <c r="CB26" i="6"/>
  <c r="BT26" i="6"/>
  <c r="CW25" i="6"/>
  <c r="CK25" i="6"/>
  <c r="CC25" i="6"/>
  <c r="BQ25" i="6"/>
  <c r="CX24" i="6"/>
  <c r="CP24" i="6"/>
  <c r="CH24" i="6"/>
  <c r="BZ24" i="6"/>
  <c r="BR24" i="6"/>
  <c r="CY23" i="6"/>
  <c r="CQ23" i="6"/>
  <c r="CI23" i="6"/>
  <c r="CA23" i="6"/>
  <c r="BS23" i="6"/>
  <c r="CZ22" i="6"/>
  <c r="CJ22" i="6"/>
  <c r="CB22" i="6"/>
  <c r="BT22" i="6"/>
  <c r="CW21" i="6"/>
  <c r="CO21" i="6"/>
  <c r="BY21" i="6"/>
  <c r="BU21" i="6"/>
  <c r="DB20" i="6"/>
  <c r="CL20" i="6"/>
  <c r="CD20" i="6"/>
  <c r="BV20" i="6"/>
  <c r="DC19" i="6"/>
  <c r="CU19" i="6"/>
  <c r="CM19" i="6"/>
  <c r="CE19" i="6"/>
  <c r="CA19" i="6"/>
  <c r="BS19" i="6"/>
  <c r="CZ18" i="6"/>
  <c r="CN18" i="6"/>
  <c r="CF18" i="6"/>
  <c r="BX18" i="6"/>
  <c r="DA17" i="6"/>
  <c r="CS17" i="6"/>
  <c r="CK17" i="6"/>
  <c r="CC17" i="6"/>
  <c r="BU17" i="6"/>
  <c r="DB16" i="6"/>
  <c r="CT16" i="6"/>
  <c r="CL16" i="6"/>
  <c r="CD16" i="6"/>
  <c r="BR16" i="6"/>
  <c r="CY15" i="6"/>
  <c r="CI15" i="6"/>
  <c r="CA15" i="6"/>
  <c r="BS15" i="6"/>
  <c r="CZ14" i="6"/>
  <c r="CR14" i="6"/>
  <c r="CF14" i="6"/>
  <c r="BT14" i="6"/>
  <c r="CW13" i="6"/>
  <c r="CO13" i="6"/>
  <c r="CG13" i="6"/>
  <c r="BY13" i="6"/>
  <c r="BQ13" i="6"/>
  <c r="CX12" i="6"/>
  <c r="CP12" i="6"/>
  <c r="CH12" i="6"/>
  <c r="CD12" i="6"/>
  <c r="BV12" i="6"/>
  <c r="DC11" i="6"/>
  <c r="CU11" i="6"/>
  <c r="CM11" i="6"/>
  <c r="CE11" i="6"/>
  <c r="BW11" i="6"/>
  <c r="BS11" i="6"/>
  <c r="CZ10" i="6"/>
  <c r="CN10" i="6"/>
  <c r="CJ10" i="6"/>
  <c r="CF68" i="6"/>
  <c r="CJ44" i="6"/>
  <c r="CJ31" i="6"/>
  <c r="CM70" i="6"/>
  <c r="CP56" i="6"/>
  <c r="CP74" i="6"/>
  <c r="CP76" i="6"/>
  <c r="CT66" i="6"/>
  <c r="CT41" i="6"/>
  <c r="CX48" i="6"/>
  <c r="CX60" i="6"/>
  <c r="DB61" i="6"/>
  <c r="DB14" i="6"/>
  <c r="CQ42" i="6"/>
  <c r="BU71" i="6"/>
  <c r="DA60" i="6"/>
  <c r="CI18" i="6"/>
  <c r="CE30" i="6"/>
  <c r="BU65" i="6"/>
  <c r="CW47" i="6"/>
  <c r="DC57" i="6"/>
  <c r="CC44" i="6"/>
  <c r="CK68" i="6"/>
  <c r="CO78" i="6"/>
  <c r="CW63" i="6"/>
  <c r="CB31" i="6"/>
  <c r="CU45" i="6"/>
  <c r="DA48" i="6"/>
  <c r="CA36" i="6"/>
  <c r="CO46" i="6"/>
  <c r="CA47" i="6"/>
  <c r="DC20" i="6"/>
  <c r="BS31" i="6"/>
  <c r="CU40" i="6"/>
  <c r="CV59" i="6"/>
  <c r="CE53" i="6"/>
  <c r="CQ73" i="6"/>
  <c r="DC60" i="6"/>
  <c r="BQ19" i="6"/>
  <c r="CH36" i="6"/>
  <c r="BS63" i="6"/>
  <c r="CD56" i="6"/>
  <c r="CW35" i="6"/>
  <c r="CI50" i="6"/>
  <c r="CH10" i="6"/>
  <c r="CR10" i="6"/>
  <c r="CF10" i="6"/>
  <c r="CB10" i="6"/>
  <c r="BX10" i="6"/>
  <c r="BT10" i="6"/>
  <c r="CY20" i="6"/>
  <c r="CA49" i="6"/>
  <c r="CP51" i="6"/>
  <c r="DC41" i="6"/>
  <c r="DC59" i="6"/>
  <c r="DC68" i="6"/>
  <c r="DC73" i="6"/>
  <c r="CY34" i="6"/>
  <c r="CY16" i="6"/>
  <c r="CY52" i="6"/>
  <c r="CY35" i="6"/>
  <c r="CU79" i="6"/>
  <c r="CU16" i="6"/>
  <c r="CQ52" i="6"/>
  <c r="CQ16" i="6"/>
  <c r="CQ17" i="6"/>
  <c r="CM16" i="6"/>
  <c r="CM41" i="6"/>
  <c r="CM34" i="6"/>
  <c r="CM73" i="6"/>
  <c r="CM17" i="6"/>
  <c r="CI17" i="6"/>
  <c r="CI73" i="6"/>
  <c r="CI34" i="6"/>
  <c r="CE16" i="6"/>
  <c r="CE68" i="6"/>
  <c r="CE73" i="6"/>
  <c r="CA52" i="6"/>
  <c r="CA59" i="6"/>
  <c r="CA78" i="6"/>
  <c r="CA41" i="6"/>
  <c r="BW44" i="6"/>
  <c r="BW35" i="6"/>
  <c r="BW76" i="6"/>
  <c r="BW71" i="6"/>
  <c r="BW70" i="6"/>
  <c r="BS41" i="6"/>
  <c r="BS16" i="6"/>
  <c r="BS57" i="6"/>
  <c r="BS34" i="6"/>
  <c r="BS77" i="6"/>
  <c r="DA40" i="6"/>
  <c r="DA51" i="6"/>
  <c r="CW74" i="6"/>
  <c r="CW22" i="6"/>
  <c r="CS33" i="6"/>
  <c r="CS51" i="6"/>
  <c r="CS67" i="6"/>
  <c r="CO58" i="6"/>
  <c r="CK71" i="6"/>
  <c r="CK67" i="6"/>
  <c r="CK62" i="6"/>
  <c r="CK40" i="6"/>
  <c r="CG33" i="6"/>
  <c r="CG15" i="6"/>
  <c r="CG58" i="6"/>
  <c r="CG67" i="6"/>
  <c r="CC67" i="6"/>
  <c r="CC71" i="6"/>
  <c r="CC26" i="6"/>
  <c r="BY69" i="6"/>
  <c r="BY51" i="6"/>
  <c r="BY60" i="6"/>
  <c r="BY62" i="6"/>
  <c r="BY22" i="6"/>
  <c r="BU67" i="6"/>
  <c r="BU44" i="6"/>
  <c r="BU22" i="6"/>
  <c r="BU15" i="6"/>
  <c r="BU33" i="6"/>
  <c r="BQ74" i="6"/>
  <c r="DD52" i="6"/>
  <c r="DD16" i="6"/>
  <c r="DD34" i="6"/>
  <c r="DD61" i="6"/>
  <c r="CZ64" i="6"/>
  <c r="CZ75" i="6"/>
  <c r="CZ34" i="6"/>
  <c r="CZ55" i="6"/>
  <c r="CV37" i="6"/>
  <c r="CV16" i="6"/>
  <c r="CV43" i="6"/>
  <c r="CV55" i="6"/>
  <c r="CR70" i="6"/>
  <c r="CR75" i="6"/>
  <c r="CR16" i="6"/>
  <c r="CR34" i="6"/>
  <c r="CN55" i="6"/>
  <c r="CN75" i="6"/>
  <c r="CJ70" i="6"/>
  <c r="CJ52" i="6"/>
  <c r="CJ16" i="6"/>
  <c r="CJ37" i="6"/>
  <c r="CJ19" i="6"/>
  <c r="CF37" i="6"/>
  <c r="CF16" i="6"/>
  <c r="CF43" i="6"/>
  <c r="CF55" i="6"/>
  <c r="CF64" i="6"/>
  <c r="CB34" i="6"/>
  <c r="CB46" i="6"/>
  <c r="CB73" i="6"/>
  <c r="CB70" i="6"/>
  <c r="CB43" i="6"/>
  <c r="CB16" i="6"/>
  <c r="CB64" i="6"/>
  <c r="CB52" i="6"/>
  <c r="BX55" i="6"/>
  <c r="BX34" i="6"/>
  <c r="BX75" i="6"/>
  <c r="BX52" i="6"/>
  <c r="BX43" i="6"/>
  <c r="BX64" i="6"/>
  <c r="BX61" i="6"/>
  <c r="BX73" i="6"/>
  <c r="BT19" i="6"/>
  <c r="BT52" i="6"/>
  <c r="BT75" i="6"/>
  <c r="BT34" i="6"/>
  <c r="BT16" i="6"/>
  <c r="BT37" i="6"/>
  <c r="CI29" i="6"/>
  <c r="CA20" i="6"/>
  <c r="BW42" i="6"/>
  <c r="BW74" i="6"/>
  <c r="BW24" i="6"/>
  <c r="BS74" i="6"/>
  <c r="BS69" i="6"/>
  <c r="DA41" i="6"/>
  <c r="DA59" i="6"/>
  <c r="DA14" i="6"/>
  <c r="CW59" i="6"/>
  <c r="CW68" i="6"/>
  <c r="CW32" i="6"/>
  <c r="CW50" i="6"/>
  <c r="CW41" i="6"/>
  <c r="CW73" i="6"/>
  <c r="CS50" i="6"/>
  <c r="CS59" i="6"/>
  <c r="CS23" i="6"/>
  <c r="CS55" i="6"/>
  <c r="CO41" i="6"/>
  <c r="CO59" i="6"/>
  <c r="CO50" i="6"/>
  <c r="CK32" i="6"/>
  <c r="CG68" i="6"/>
  <c r="CG23" i="6"/>
  <c r="CC41" i="6"/>
  <c r="CC59" i="6"/>
  <c r="CC14" i="6"/>
  <c r="CC73" i="6"/>
  <c r="BY41" i="6"/>
  <c r="BY14" i="6"/>
  <c r="BY59" i="6"/>
  <c r="BY32" i="6"/>
  <c r="BY23" i="6"/>
  <c r="BY68" i="6"/>
  <c r="BY50" i="6"/>
  <c r="BU59" i="6"/>
  <c r="BU41" i="6"/>
  <c r="BU32" i="6"/>
  <c r="BU68" i="6"/>
  <c r="BU23" i="6"/>
  <c r="BU37" i="6"/>
  <c r="BU19" i="6"/>
  <c r="BU14" i="6"/>
  <c r="BU73" i="6"/>
  <c r="BQ23" i="6"/>
  <c r="BQ32" i="6"/>
  <c r="BQ41" i="6"/>
  <c r="CU67" i="6"/>
  <c r="CU49" i="6"/>
  <c r="CM67" i="6"/>
  <c r="CE13" i="6"/>
  <c r="BW58" i="6"/>
  <c r="BS58" i="6"/>
  <c r="BS49" i="6"/>
  <c r="DD39" i="6"/>
  <c r="CZ39" i="6"/>
  <c r="CV39" i="6"/>
  <c r="CR21" i="6"/>
  <c r="CN39" i="6"/>
  <c r="CJ39" i="6"/>
  <c r="CB66" i="6"/>
  <c r="CB57" i="6"/>
  <c r="CB39" i="6"/>
  <c r="BX66" i="6"/>
  <c r="DA56" i="6"/>
  <c r="CC65" i="6"/>
  <c r="BU56" i="6"/>
  <c r="CX37" i="6"/>
  <c r="CL37" i="6"/>
  <c r="CH64" i="6"/>
  <c r="CH55" i="6"/>
  <c r="CD55" i="6"/>
  <c r="CD64" i="6"/>
  <c r="CD37" i="6"/>
  <c r="BZ37" i="6"/>
  <c r="BZ55" i="6"/>
  <c r="BV64" i="6"/>
  <c r="BV37" i="6"/>
  <c r="BR37" i="6"/>
  <c r="BR64" i="6"/>
  <c r="CY36" i="6"/>
  <c r="CQ36" i="6"/>
  <c r="CI54" i="6"/>
  <c r="CZ35" i="6"/>
  <c r="CV53" i="6"/>
  <c r="CR53" i="6"/>
  <c r="BX17" i="6"/>
  <c r="BT53" i="6"/>
  <c r="DA34" i="6"/>
  <c r="DA52" i="6"/>
  <c r="CS34" i="6"/>
  <c r="CO34" i="6"/>
  <c r="BY52" i="6"/>
  <c r="BY34" i="6"/>
  <c r="BU34" i="6"/>
  <c r="BU52" i="6"/>
  <c r="BQ34" i="6"/>
  <c r="CL51" i="6"/>
  <c r="CH33" i="6"/>
  <c r="CD51" i="6"/>
  <c r="CD33" i="6"/>
  <c r="BZ51" i="6"/>
  <c r="BV33" i="6"/>
  <c r="CY50" i="6"/>
  <c r="CU32" i="6"/>
  <c r="CQ50" i="6"/>
  <c r="CE32" i="6"/>
  <c r="CA32" i="6"/>
  <c r="BW50" i="6"/>
  <c r="BW32" i="6"/>
  <c r="CN49" i="6"/>
  <c r="CF31" i="6"/>
  <c r="BT31" i="6"/>
  <c r="CV11" i="6"/>
  <c r="CF29" i="6"/>
  <c r="BX47" i="6"/>
  <c r="BQ10" i="6"/>
  <c r="CH27" i="6"/>
  <c r="BR27" i="6"/>
  <c r="BT25" i="6"/>
  <c r="BQ24" i="6"/>
  <c r="CH19" i="6"/>
  <c r="BT17" i="6"/>
  <c r="CD15" i="6"/>
  <c r="DA12" i="6"/>
  <c r="CY32" i="6"/>
  <c r="CE52" i="6"/>
  <c r="DC22" i="6"/>
  <c r="BS48" i="6"/>
  <c r="BT57" i="6"/>
  <c r="CF39" i="6"/>
  <c r="CJ66" i="6"/>
  <c r="CR39" i="6"/>
  <c r="BW73" i="6"/>
  <c r="CE41" i="6"/>
  <c r="CQ41" i="6"/>
  <c r="CG74" i="6"/>
  <c r="DA42" i="6"/>
  <c r="BW75" i="6"/>
  <c r="DC16" i="6"/>
  <c r="DA58" i="6"/>
  <c r="CN66" i="6"/>
  <c r="BT64" i="6"/>
  <c r="BW26" i="6"/>
  <c r="CR55" i="6"/>
  <c r="CM68" i="6"/>
  <c r="BY42" i="6"/>
  <c r="BU26" i="6"/>
  <c r="CC40" i="6"/>
  <c r="CS76" i="6"/>
  <c r="BW80" i="6"/>
  <c r="BW78" i="6"/>
  <c r="CQ32" i="6"/>
  <c r="DC52" i="6"/>
  <c r="CU73" i="6"/>
  <c r="BW14" i="6"/>
  <c r="CB25" i="6"/>
  <c r="BX53" i="6"/>
  <c r="BT70" i="6"/>
  <c r="BR55" i="6"/>
  <c r="CG50" i="6"/>
  <c r="CH37" i="6"/>
  <c r="BX25" i="6"/>
  <c r="BX16" i="6"/>
  <c r="CN61" i="6"/>
  <c r="CR47" i="6"/>
  <c r="CJ47" i="6"/>
  <c r="CB11" i="6"/>
  <c r="BT11" i="6"/>
  <c r="CS10" i="6"/>
  <c r="CS46" i="6"/>
  <c r="CL27" i="6"/>
  <c r="CD27" i="6"/>
  <c r="BZ27" i="6"/>
  <c r="BV27" i="6"/>
  <c r="CZ25" i="6"/>
  <c r="CF25" i="6"/>
  <c r="CC24" i="6"/>
  <c r="CL23" i="6"/>
  <c r="CD23" i="6"/>
  <c r="BR23" i="6"/>
  <c r="CB21" i="6"/>
  <c r="BT21" i="6"/>
  <c r="BQ20" i="6"/>
  <c r="CD19" i="6"/>
  <c r="BV19" i="6"/>
  <c r="BR19" i="6"/>
  <c r="CS16" i="6"/>
  <c r="CG16" i="6"/>
  <c r="BY16" i="6"/>
  <c r="BU16" i="6"/>
  <c r="BQ16" i="6"/>
  <c r="CH15" i="6"/>
  <c r="BV15" i="6"/>
  <c r="DC14" i="6"/>
  <c r="CU14" i="6"/>
  <c r="CM14" i="6"/>
  <c r="CI14" i="6"/>
  <c r="CA14" i="6"/>
  <c r="CO12" i="6"/>
  <c r="BY12" i="6"/>
  <c r="BQ12" i="6"/>
  <c r="DB11" i="6"/>
  <c r="BV11" i="6"/>
  <c r="BR11" i="6"/>
  <c r="CM10" i="6"/>
  <c r="CI10" i="6"/>
  <c r="BS10" i="6"/>
  <c r="CJ11" i="6"/>
  <c r="BT29" i="6"/>
  <c r="CP39" i="6"/>
  <c r="CP30" i="6"/>
  <c r="CL77" i="6"/>
  <c r="CL75" i="6"/>
  <c r="CL45" i="6"/>
  <c r="CL72" i="6"/>
  <c r="CL63" i="6"/>
  <c r="CL61" i="6"/>
  <c r="CL30" i="6"/>
  <c r="CH75" i="6"/>
  <c r="CH21" i="6"/>
  <c r="CH70" i="6"/>
  <c r="CD75" i="6"/>
  <c r="CD72" i="6"/>
  <c r="CD30" i="6"/>
  <c r="DD25" i="6"/>
  <c r="DD19" i="6"/>
  <c r="DD56" i="6"/>
  <c r="DD72" i="6"/>
  <c r="DD44" i="6"/>
  <c r="DD36" i="6"/>
  <c r="DD67" i="6"/>
  <c r="DD73" i="6"/>
  <c r="DD49" i="6"/>
  <c r="DD70" i="6"/>
  <c r="DD45" i="6"/>
  <c r="DD50" i="6"/>
  <c r="DD42" i="6"/>
  <c r="DD28" i="6"/>
  <c r="DD20" i="6"/>
  <c r="DD63" i="6"/>
  <c r="DD62" i="6"/>
  <c r="DD26" i="6"/>
  <c r="DD79" i="6"/>
  <c r="DD24" i="6"/>
  <c r="DD75" i="6"/>
  <c r="DD65" i="6"/>
  <c r="DD37" i="6"/>
  <c r="CZ56" i="6"/>
  <c r="CZ43" i="6"/>
  <c r="CZ61" i="6"/>
  <c r="CZ52" i="6"/>
  <c r="CZ45" i="6"/>
  <c r="CZ44" i="6"/>
  <c r="CZ76" i="6"/>
  <c r="CZ60" i="6"/>
  <c r="CZ69" i="6"/>
  <c r="CZ59" i="6"/>
  <c r="CZ30" i="6"/>
  <c r="CZ74" i="6"/>
  <c r="CZ70" i="6"/>
  <c r="CZ16" i="6"/>
  <c r="CZ42" i="6"/>
  <c r="CZ79" i="6"/>
  <c r="CZ40" i="6"/>
  <c r="CZ36" i="6"/>
  <c r="CZ71" i="6"/>
  <c r="CZ73" i="6"/>
  <c r="CZ54" i="6"/>
  <c r="CZ57" i="6"/>
  <c r="CZ49" i="6"/>
  <c r="CZ17" i="6"/>
  <c r="CV45" i="6"/>
  <c r="CV25" i="6"/>
  <c r="CV62" i="6"/>
  <c r="CV56" i="6"/>
  <c r="CV44" i="6"/>
  <c r="CV71" i="6"/>
  <c r="CV74" i="6"/>
  <c r="CV42" i="6"/>
  <c r="CV61" i="6"/>
  <c r="CV70" i="6"/>
  <c r="CV23" i="6"/>
  <c r="CV10" i="6"/>
  <c r="CV52" i="6"/>
  <c r="CV13" i="6"/>
  <c r="CV65" i="6"/>
  <c r="CV76" i="6"/>
  <c r="CV20" i="6"/>
  <c r="CV34" i="6"/>
  <c r="CV22" i="6"/>
  <c r="CV24" i="6"/>
  <c r="CV40" i="6"/>
  <c r="CV58" i="6"/>
  <c r="CV78" i="6"/>
  <c r="CV26" i="6"/>
  <c r="CV75" i="6"/>
  <c r="CV67" i="6"/>
  <c r="CV63" i="6"/>
  <c r="CV35" i="6"/>
  <c r="CV21" i="6"/>
  <c r="CR30" i="6"/>
  <c r="CR60" i="6"/>
  <c r="CR22" i="6"/>
  <c r="CR80" i="6"/>
  <c r="CR54" i="6"/>
  <c r="CR58" i="6"/>
  <c r="CR18" i="6"/>
  <c r="CR61" i="6"/>
  <c r="CR19" i="6"/>
  <c r="CR45" i="6"/>
  <c r="CR44" i="6"/>
  <c r="CR36" i="6"/>
  <c r="CR78" i="6"/>
  <c r="CR62" i="6"/>
  <c r="CR27" i="6"/>
  <c r="CR25" i="6"/>
  <c r="CR52" i="6"/>
  <c r="CR23" i="6"/>
  <c r="CR38" i="6"/>
  <c r="CR77" i="6"/>
  <c r="CR31" i="6"/>
  <c r="CN74" i="6"/>
  <c r="CN58" i="6"/>
  <c r="CN28" i="6"/>
  <c r="CN54" i="6"/>
  <c r="CN22" i="6"/>
  <c r="CN19" i="6"/>
  <c r="CN72" i="6"/>
  <c r="CN71" i="6"/>
  <c r="CN42" i="6"/>
  <c r="CN38" i="6"/>
  <c r="CN65" i="6"/>
  <c r="CN43" i="6"/>
  <c r="CN40" i="6"/>
  <c r="CN30" i="6"/>
  <c r="CN57" i="6"/>
  <c r="CN53" i="6"/>
  <c r="CN41" i="6"/>
  <c r="CN14" i="6"/>
  <c r="CN77" i="6"/>
  <c r="CN16" i="6"/>
  <c r="CN67" i="6"/>
  <c r="CN79" i="6"/>
  <c r="CN45" i="6"/>
  <c r="CN60" i="6"/>
  <c r="CN34" i="6"/>
  <c r="CN76" i="6"/>
  <c r="CN48" i="6"/>
  <c r="CJ38" i="6"/>
  <c r="CJ24" i="6"/>
  <c r="CJ61" i="6"/>
  <c r="CJ65" i="6"/>
  <c r="CJ76" i="6"/>
  <c r="CJ29" i="6"/>
  <c r="CJ56" i="6"/>
  <c r="CJ54" i="6"/>
  <c r="CJ58" i="6"/>
  <c r="CJ49" i="6"/>
  <c r="CJ42" i="6"/>
  <c r="CJ51" i="6"/>
  <c r="CJ25" i="6"/>
  <c r="CJ60" i="6"/>
  <c r="CJ64" i="6"/>
  <c r="CF67" i="6"/>
  <c r="CF45" i="6"/>
  <c r="CF77" i="6"/>
  <c r="CF79" i="6"/>
  <c r="CF58" i="6"/>
  <c r="CF56" i="6"/>
  <c r="CF75" i="6"/>
  <c r="CF20" i="6"/>
  <c r="CF28" i="6"/>
  <c r="CF41" i="6"/>
  <c r="CF65" i="6"/>
  <c r="CF71" i="6"/>
  <c r="CF76" i="6"/>
  <c r="CF24" i="6"/>
  <c r="CF34" i="6"/>
  <c r="CF40" i="6"/>
  <c r="D67" i="6"/>
  <c r="E15" i="9"/>
  <c r="G15" i="9" s="1"/>
  <c r="C14" i="9"/>
  <c r="F14" i="9" s="1"/>
  <c r="G14" i="9" s="1"/>
  <c r="G13" i="9"/>
  <c r="I7" i="3"/>
  <c r="D66" i="3"/>
  <c r="J66" i="3"/>
  <c r="H63" i="3"/>
  <c r="E53" i="3"/>
  <c r="K39" i="3"/>
  <c r="D39" i="3"/>
  <c r="H32" i="3"/>
  <c r="C10" i="3"/>
  <c r="I10" i="3"/>
  <c r="C68" i="3"/>
  <c r="H68" i="3"/>
  <c r="C60" i="3"/>
  <c r="I60" i="3"/>
  <c r="B60" i="3"/>
  <c r="J60" i="3"/>
  <c r="B44" i="3"/>
  <c r="B13" i="3"/>
  <c r="H13" i="3"/>
  <c r="L44" i="3"/>
  <c r="K77" i="3"/>
  <c r="B77" i="3"/>
  <c r="L74" i="3"/>
  <c r="I35" i="3"/>
  <c r="E31" i="3"/>
  <c r="L27" i="3"/>
  <c r="I27" i="3"/>
  <c r="E21" i="3"/>
  <c r="L21" i="3"/>
  <c r="E19" i="3"/>
  <c r="K19" i="3"/>
  <c r="B19" i="3"/>
  <c r="C12" i="3"/>
  <c r="I19" i="3"/>
  <c r="K32" i="3"/>
  <c r="E35" i="3"/>
  <c r="B49" i="3"/>
  <c r="L30" i="3"/>
  <c r="I30" i="3"/>
  <c r="L26" i="3"/>
  <c r="E26" i="3"/>
  <c r="L15" i="3"/>
  <c r="C15" i="3"/>
  <c r="F15" i="3"/>
  <c r="H15" i="3"/>
  <c r="B21" i="3"/>
  <c r="L36" i="3"/>
  <c r="C32" i="3"/>
  <c r="I15" i="3"/>
  <c r="B35" i="3"/>
  <c r="E72" i="3"/>
  <c r="H53" i="3"/>
  <c r="C53" i="3"/>
  <c r="B75" i="3"/>
  <c r="H21" i="3"/>
  <c r="L60" i="3"/>
  <c r="J33" i="3"/>
  <c r="E33" i="3"/>
  <c r="H29" i="3"/>
  <c r="I43" i="3"/>
  <c r="L67" i="3"/>
  <c r="C25" i="3"/>
  <c r="E65" i="3"/>
  <c r="L71" i="3"/>
  <c r="I65" i="3"/>
  <c r="I47" i="3"/>
  <c r="E47" i="3"/>
  <c r="H47" i="3"/>
  <c r="E16" i="3"/>
  <c r="C16" i="3"/>
  <c r="I16" i="3"/>
  <c r="L16" i="3"/>
  <c r="E59" i="3"/>
  <c r="L59" i="3"/>
  <c r="B59" i="3"/>
  <c r="J59" i="3"/>
  <c r="H59" i="3"/>
  <c r="H41" i="3"/>
  <c r="I41" i="3"/>
  <c r="J41" i="3"/>
  <c r="B41" i="3"/>
  <c r="K41" i="3"/>
  <c r="I24" i="3"/>
  <c r="L24" i="3"/>
  <c r="F24" i="3"/>
  <c r="C24" i="3"/>
  <c r="J24" i="3"/>
  <c r="H24" i="3"/>
  <c r="E24" i="3"/>
  <c r="K24" i="3"/>
  <c r="H45" i="3"/>
  <c r="F45" i="3"/>
  <c r="I45" i="3"/>
  <c r="B45" i="3"/>
  <c r="L45" i="3"/>
  <c r="L55" i="3"/>
  <c r="E55" i="3"/>
  <c r="C34" i="3"/>
  <c r="H34" i="3"/>
  <c r="B34" i="3"/>
  <c r="E23" i="3"/>
  <c r="L10" i="3"/>
  <c r="H10" i="3"/>
  <c r="I55" i="3"/>
  <c r="E10" i="3"/>
  <c r="K18" i="3"/>
  <c r="H75" i="3"/>
  <c r="F75" i="3"/>
  <c r="E63" i="3"/>
  <c r="C57" i="3"/>
  <c r="E57" i="3"/>
  <c r="H33" i="3"/>
  <c r="D55" i="3"/>
  <c r="H22" i="3"/>
  <c r="L63" i="3"/>
  <c r="H66" i="3"/>
  <c r="C31" i="3"/>
  <c r="L31" i="3"/>
  <c r="B68" i="3"/>
  <c r="C23" i="3"/>
  <c r="K10" i="3"/>
  <c r="B10" i="3"/>
  <c r="L75" i="3"/>
  <c r="I75" i="3"/>
  <c r="L34" i="3"/>
  <c r="L29" i="3"/>
  <c r="I77" i="3"/>
  <c r="L77" i="3"/>
  <c r="E77" i="3"/>
  <c r="E74" i="3"/>
  <c r="D53" i="3"/>
  <c r="L53" i="3"/>
  <c r="F43" i="3"/>
  <c r="H55" i="3"/>
  <c r="E22" i="3"/>
  <c r="C63" i="3"/>
  <c r="C66" i="3"/>
  <c r="L70" i="3"/>
  <c r="C33" i="3"/>
  <c r="F34" i="3"/>
  <c r="H54" i="3"/>
  <c r="I63" i="3"/>
  <c r="E75" i="3"/>
  <c r="I34" i="3"/>
  <c r="F76" i="3"/>
  <c r="I76" i="3"/>
  <c r="K49" i="3"/>
  <c r="C49" i="3"/>
  <c r="E38" i="3"/>
  <c r="C35" i="3"/>
  <c r="F21" i="3"/>
  <c r="K20" i="3"/>
  <c r="E58" i="3"/>
  <c r="E44" i="3"/>
  <c r="E7" i="3"/>
  <c r="C7" i="3"/>
  <c r="L7" i="3"/>
  <c r="C50" i="3"/>
  <c r="H50" i="3"/>
  <c r="B50" i="3"/>
  <c r="I50" i="3"/>
  <c r="L50" i="3"/>
  <c r="D50" i="3"/>
  <c r="E50" i="3"/>
  <c r="K8" i="3"/>
  <c r="C8" i="3"/>
  <c r="G8" i="3"/>
  <c r="E8" i="3"/>
  <c r="H8" i="3"/>
  <c r="L8" i="3"/>
  <c r="I8" i="3"/>
  <c r="H61" i="3"/>
  <c r="L61" i="3"/>
  <c r="I61" i="3"/>
  <c r="B61" i="3"/>
  <c r="C61" i="3"/>
  <c r="E61" i="3"/>
  <c r="D61" i="3"/>
  <c r="I42" i="3"/>
  <c r="H42" i="3"/>
  <c r="C42" i="3"/>
  <c r="J42" i="3"/>
  <c r="E42" i="3"/>
  <c r="L42" i="3"/>
  <c r="K42" i="3"/>
  <c r="I72" i="3"/>
  <c r="J72" i="3"/>
  <c r="C70" i="3"/>
  <c r="E68" i="3"/>
  <c r="I68" i="3"/>
  <c r="B66" i="3"/>
  <c r="E66" i="3"/>
  <c r="L66" i="3"/>
  <c r="L64" i="3"/>
  <c r="J62" i="3"/>
  <c r="E56" i="3"/>
  <c r="L56" i="3"/>
  <c r="C56" i="3"/>
  <c r="I56" i="3"/>
  <c r="K56" i="3"/>
  <c r="E54" i="3"/>
  <c r="C54" i="3"/>
  <c r="E52" i="3"/>
  <c r="I52" i="3"/>
  <c r="L52" i="3"/>
  <c r="C47" i="3"/>
  <c r="J47" i="3"/>
  <c r="C45" i="3"/>
  <c r="I40" i="3"/>
  <c r="H36" i="3"/>
  <c r="B36" i="3"/>
  <c r="E36" i="3"/>
  <c r="L28" i="3"/>
  <c r="I28" i="3"/>
  <c r="C22" i="3"/>
  <c r="K22" i="3"/>
  <c r="I18" i="3"/>
  <c r="E18" i="3"/>
  <c r="H18" i="3"/>
  <c r="E13" i="3"/>
  <c r="L13" i="3"/>
  <c r="C11" i="3"/>
  <c r="H11" i="3"/>
  <c r="L18" i="3"/>
  <c r="J11" i="3"/>
  <c r="I22" i="3"/>
  <c r="I54" i="3"/>
  <c r="H56" i="3"/>
  <c r="B62" i="3"/>
  <c r="F64" i="3"/>
  <c r="I66" i="3"/>
  <c r="B70" i="3"/>
  <c r="B72" i="3"/>
  <c r="C72" i="3"/>
  <c r="I26" i="3"/>
  <c r="B40" i="3"/>
  <c r="E45" i="3"/>
  <c r="J68" i="3"/>
  <c r="E70" i="3"/>
  <c r="C38" i="3"/>
  <c r="C18" i="3"/>
  <c r="K52" i="3"/>
  <c r="L47" i="3"/>
  <c r="E11" i="3"/>
  <c r="J36" i="3"/>
  <c r="H26" i="3"/>
  <c r="C76" i="3"/>
  <c r="E76" i="3"/>
  <c r="H76" i="3"/>
  <c r="I74" i="3"/>
  <c r="B58" i="3"/>
  <c r="H49" i="3"/>
  <c r="I49" i="3"/>
  <c r="D49" i="3"/>
  <c r="E43" i="3"/>
  <c r="C43" i="3"/>
  <c r="K43" i="3"/>
  <c r="H43" i="3"/>
  <c r="L41" i="3"/>
  <c r="C37" i="3"/>
  <c r="K37" i="3"/>
  <c r="L37" i="3"/>
  <c r="I37" i="3"/>
  <c r="L35" i="3"/>
  <c r="L33" i="3"/>
  <c r="I31" i="3"/>
  <c r="H31" i="3"/>
  <c r="H27" i="3"/>
  <c r="E27" i="3"/>
  <c r="B27" i="3"/>
  <c r="C27" i="3"/>
  <c r="I25" i="3"/>
  <c r="I20" i="3"/>
  <c r="H20" i="3"/>
  <c r="F20" i="3"/>
  <c r="E15" i="3"/>
  <c r="I9" i="3"/>
  <c r="B9" i="3"/>
  <c r="C36" i="3"/>
  <c r="E20" i="3"/>
  <c r="L22" i="3"/>
  <c r="J28" i="3"/>
  <c r="C64" i="3"/>
  <c r="H62" i="3"/>
  <c r="K54" i="3"/>
  <c r="H70" i="3"/>
  <c r="E25" i="3"/>
  <c r="E41" i="3"/>
  <c r="J52" i="3"/>
  <c r="D54" i="3"/>
  <c r="I62" i="3"/>
  <c r="E64" i="3"/>
  <c r="K76" i="3"/>
  <c r="I13" i="3"/>
  <c r="D27" i="3"/>
  <c r="G30" i="3"/>
  <c r="E30" i="3"/>
  <c r="H37" i="3"/>
  <c r="K33" i="3"/>
  <c r="J35" i="3"/>
  <c r="K31" i="3"/>
  <c r="D31" i="3"/>
  <c r="L49" i="3"/>
  <c r="F68" i="3"/>
  <c r="L72" i="3"/>
  <c r="C74" i="3"/>
  <c r="C26" i="3"/>
  <c r="L40" i="3"/>
  <c r="K45" i="3"/>
  <c r="I70" i="3"/>
  <c r="F58" i="3"/>
  <c r="G20" i="3"/>
  <c r="I58" i="3"/>
  <c r="E62" i="3"/>
  <c r="H74" i="3"/>
  <c r="F18" i="3"/>
  <c r="I33" i="3"/>
  <c r="C41" i="3"/>
  <c r="H52" i="3"/>
  <c r="L43" i="3"/>
  <c r="L68" i="3"/>
  <c r="H28" i="3"/>
  <c r="D11" i="3"/>
  <c r="F71" i="3"/>
  <c r="C71" i="3"/>
  <c r="I71" i="3"/>
  <c r="J71" i="3"/>
  <c r="K65" i="3"/>
  <c r="L65" i="3"/>
  <c r="C65" i="3"/>
  <c r="H65" i="3"/>
  <c r="D63" i="3"/>
  <c r="L51" i="3"/>
  <c r="H51" i="3"/>
  <c r="L39" i="3"/>
  <c r="E39" i="3"/>
  <c r="B39" i="3"/>
  <c r="H39" i="3"/>
  <c r="I39" i="3"/>
  <c r="C39" i="3"/>
  <c r="I29" i="3"/>
  <c r="C29" i="3"/>
  <c r="E29" i="3"/>
  <c r="H23" i="3"/>
  <c r="I23" i="3"/>
  <c r="L23" i="3"/>
  <c r="J17" i="3"/>
  <c r="B47" i="3"/>
  <c r="J77" i="3"/>
  <c r="E73" i="3"/>
  <c r="H73" i="3"/>
  <c r="I73" i="3"/>
  <c r="H69" i="3"/>
  <c r="C69" i="3"/>
  <c r="B69" i="3"/>
  <c r="I64" i="3"/>
  <c r="C59" i="3"/>
  <c r="I59" i="3"/>
  <c r="I57" i="3"/>
  <c r="L57" i="3"/>
  <c r="L48" i="3"/>
  <c r="I48" i="3"/>
  <c r="H48" i="3"/>
  <c r="I46" i="3"/>
  <c r="D46" i="3"/>
  <c r="H40" i="3"/>
  <c r="I38" i="3"/>
  <c r="E32" i="3"/>
  <c r="L32" i="3"/>
  <c r="B30" i="3"/>
  <c r="L19" i="3"/>
  <c r="C19" i="3"/>
  <c r="H19" i="3"/>
  <c r="H16" i="3"/>
  <c r="E14" i="3"/>
  <c r="I14" i="3"/>
  <c r="I12" i="3"/>
  <c r="J12" i="3"/>
  <c r="L12" i="3"/>
  <c r="C75" i="3"/>
  <c r="E60" i="3"/>
  <c r="K60" i="3"/>
  <c r="H44" i="3"/>
  <c r="I44" i="3"/>
  <c r="F44" i="3" l="1"/>
  <c r="F28" i="3"/>
  <c r="F46" i="3"/>
  <c r="D26" i="3"/>
  <c r="F66" i="3"/>
  <c r="F22" i="3"/>
  <c r="D42" i="3"/>
  <c r="F61" i="3"/>
  <c r="F10" i="3"/>
  <c r="D23" i="3"/>
  <c r="D22" i="3"/>
  <c r="D75" i="3"/>
  <c r="D16" i="3"/>
  <c r="D20" i="3"/>
  <c r="D30" i="3"/>
  <c r="D12" i="3"/>
  <c r="F32" i="3"/>
  <c r="F25" i="3"/>
  <c r="F40" i="3"/>
  <c r="D65" i="3"/>
  <c r="D25" i="3"/>
  <c r="F33" i="3"/>
  <c r="D68" i="3"/>
  <c r="D45" i="3"/>
  <c r="F54" i="3"/>
  <c r="D62" i="3"/>
  <c r="D7" i="3"/>
  <c r="D21" i="3"/>
  <c r="D33" i="3"/>
  <c r="D19" i="3"/>
  <c r="F31" i="3"/>
  <c r="F37" i="3"/>
  <c r="D58" i="3"/>
  <c r="F23" i="3"/>
  <c r="F16" i="3"/>
  <c r="D48" i="3"/>
  <c r="D77" i="3"/>
  <c r="F29" i="3"/>
  <c r="D40" i="3"/>
  <c r="F13" i="3"/>
  <c r="F41" i="3"/>
  <c r="F30" i="3"/>
  <c r="F52" i="3"/>
  <c r="D28" i="3"/>
  <c r="D57" i="3"/>
  <c r="F74" i="3"/>
  <c r="D10" i="3"/>
  <c r="D74" i="3"/>
  <c r="F19" i="3"/>
  <c r="D35" i="3"/>
  <c r="D44" i="3"/>
  <c r="F53" i="3"/>
  <c r="F12" i="3"/>
  <c r="F73" i="3"/>
  <c r="D32" i="3"/>
  <c r="F9" i="3"/>
  <c r="D41" i="3"/>
  <c r="F49" i="3"/>
  <c r="D13" i="3"/>
  <c r="D64" i="3"/>
  <c r="F50" i="3"/>
  <c r="F7" i="3"/>
  <c r="F6" i="3" s="1"/>
  <c r="M3" i="1" s="1"/>
  <c r="F35" i="3"/>
  <c r="F77" i="3"/>
  <c r="F70" i="3"/>
  <c r="F57" i="3"/>
  <c r="F59" i="3"/>
  <c r="D34" i="3"/>
  <c r="D70" i="3"/>
  <c r="F56" i="3"/>
  <c r="F69" i="3"/>
  <c r="F48" i="3"/>
  <c r="F60" i="3"/>
  <c r="F36" i="3"/>
  <c r="D9" i="3"/>
  <c r="F26" i="3"/>
  <c r="D47" i="3"/>
  <c r="D18" i="3"/>
  <c r="F72" i="3"/>
  <c r="D8" i="3"/>
  <c r="F67" i="3"/>
  <c r="D59" i="3"/>
  <c r="F47" i="3"/>
  <c r="D56" i="3"/>
  <c r="D72" i="3"/>
  <c r="D17" i="3"/>
  <c r="D6" i="3" s="1"/>
  <c r="K3" i="1" s="1"/>
  <c r="F14" i="3"/>
  <c r="F65" i="3"/>
  <c r="F27" i="3"/>
  <c r="F39" i="3"/>
  <c r="F63" i="3"/>
  <c r="D38" i="3"/>
  <c r="D37" i="3"/>
  <c r="D36" i="3"/>
  <c r="F42" i="3"/>
  <c r="D24" i="3"/>
  <c r="D60" i="3"/>
  <c r="D71" i="3"/>
  <c r="D67" i="3"/>
  <c r="D51" i="3"/>
  <c r="D73" i="3"/>
  <c r="B15" i="3"/>
  <c r="K48" i="3"/>
  <c r="K34" i="3"/>
  <c r="B65" i="3"/>
  <c r="B54" i="3"/>
  <c r="B37" i="3"/>
  <c r="B20" i="3"/>
  <c r="K51" i="3"/>
  <c r="K73" i="3"/>
  <c r="K75" i="3"/>
  <c r="G29" i="3"/>
  <c r="G45" i="3"/>
  <c r="G23" i="3"/>
  <c r="G14" i="3"/>
  <c r="K17" i="3"/>
  <c r="B51" i="3"/>
  <c r="K35" i="3"/>
  <c r="B38" i="3"/>
  <c r="B25" i="3"/>
  <c r="G41" i="3"/>
  <c r="G18" i="3"/>
  <c r="G26" i="3"/>
  <c r="K38" i="3"/>
  <c r="K11" i="3"/>
  <c r="G13" i="3"/>
  <c r="B52" i="3"/>
  <c r="K66" i="3"/>
  <c r="G42" i="3"/>
  <c r="K50" i="3"/>
  <c r="K55" i="3"/>
  <c r="K72" i="3"/>
  <c r="B55" i="3"/>
  <c r="G16" i="3"/>
  <c r="K16" i="3"/>
  <c r="K71" i="3"/>
  <c r="K14" i="3"/>
  <c r="B63" i="3"/>
  <c r="K9" i="3"/>
  <c r="K25" i="3"/>
  <c r="G37" i="3"/>
  <c r="K28" i="3"/>
  <c r="B57" i="3"/>
  <c r="B71" i="3"/>
  <c r="B48" i="3"/>
  <c r="K57" i="3"/>
  <c r="G48" i="3"/>
  <c r="G73" i="3"/>
  <c r="K23" i="3"/>
  <c r="G19" i="3"/>
  <c r="G74" i="3"/>
  <c r="G22" i="3"/>
  <c r="G21" i="3"/>
  <c r="G44" i="3"/>
  <c r="G53" i="3"/>
  <c r="G57" i="3"/>
  <c r="K26" i="3"/>
  <c r="B16" i="3"/>
  <c r="K69" i="3"/>
  <c r="B17" i="3"/>
  <c r="B29" i="3"/>
  <c r="G51" i="3"/>
  <c r="B22" i="3"/>
  <c r="K15" i="3"/>
  <c r="K27" i="3"/>
  <c r="G33" i="3"/>
  <c r="B43" i="3"/>
  <c r="K13" i="3"/>
  <c r="K40" i="3"/>
  <c r="B11" i="3"/>
  <c r="B26" i="3"/>
  <c r="K30" i="3"/>
  <c r="K68" i="3"/>
  <c r="B42" i="3"/>
  <c r="K61" i="3"/>
  <c r="B8" i="3"/>
  <c r="K7" i="3"/>
  <c r="B7" i="3"/>
  <c r="B76" i="3"/>
  <c r="B12" i="3"/>
  <c r="B53" i="3"/>
  <c r="B33" i="3"/>
  <c r="K63" i="3"/>
  <c r="K64" i="3"/>
  <c r="B23" i="3"/>
  <c r="B64" i="3"/>
  <c r="B24" i="3"/>
  <c r="G24" i="3"/>
  <c r="K59" i="3"/>
  <c r="K47" i="3"/>
  <c r="G75" i="3"/>
  <c r="B31" i="3"/>
  <c r="K74" i="3"/>
  <c r="G32" i="3"/>
  <c r="K44" i="3"/>
  <c r="K36" i="3"/>
  <c r="B32" i="3"/>
  <c r="K53" i="3"/>
  <c r="B56" i="3"/>
  <c r="K58" i="3"/>
  <c r="B28" i="3"/>
  <c r="B14" i="3"/>
  <c r="G54" i="3"/>
  <c r="K29" i="3"/>
  <c r="B67" i="3"/>
  <c r="K67" i="3"/>
  <c r="J74" i="3"/>
  <c r="J40" i="3"/>
  <c r="J23" i="3"/>
  <c r="J16" i="3"/>
  <c r="J27" i="3"/>
  <c r="J53" i="3"/>
  <c r="J10" i="3"/>
  <c r="J55" i="3"/>
  <c r="J15" i="3"/>
  <c r="J75" i="3"/>
  <c r="G59" i="3"/>
  <c r="G69" i="3"/>
  <c r="G77" i="3"/>
  <c r="G72" i="3"/>
  <c r="G56" i="3"/>
  <c r="J9" i="3"/>
  <c r="J20" i="3"/>
  <c r="G35" i="3"/>
  <c r="G58" i="3"/>
  <c r="J76" i="3"/>
  <c r="G28" i="3"/>
  <c r="J26" i="3"/>
  <c r="G36" i="3"/>
  <c r="G40" i="3"/>
  <c r="G52" i="3"/>
  <c r="G62" i="3"/>
  <c r="J61" i="3"/>
  <c r="G10" i="3"/>
  <c r="J31" i="3"/>
  <c r="J63" i="3"/>
  <c r="G34" i="3"/>
  <c r="J22" i="3"/>
  <c r="G63" i="3"/>
  <c r="J45" i="3"/>
  <c r="G27" i="3"/>
  <c r="J13" i="3"/>
  <c r="J56" i="3"/>
  <c r="J32" i="3"/>
  <c r="G7" i="3"/>
  <c r="G43" i="3"/>
  <c r="J67" i="3"/>
  <c r="J73" i="3"/>
  <c r="J48" i="3"/>
  <c r="J19" i="3"/>
  <c r="J54" i="3"/>
  <c r="J50" i="3"/>
  <c r="J29" i="3"/>
  <c r="J34" i="3"/>
  <c r="J44" i="3"/>
  <c r="J49" i="3"/>
  <c r="J57" i="3"/>
  <c r="J14" i="3"/>
  <c r="G39" i="3"/>
  <c r="J51" i="3"/>
  <c r="G65" i="3"/>
  <c r="J38" i="3"/>
  <c r="G49" i="3"/>
  <c r="G15" i="3"/>
  <c r="G70" i="3"/>
  <c r="J43" i="3"/>
  <c r="G11" i="3"/>
  <c r="J58" i="3"/>
  <c r="G64" i="3"/>
  <c r="J30" i="3"/>
  <c r="G47" i="3"/>
  <c r="G66" i="3"/>
  <c r="G68" i="3"/>
  <c r="J70" i="3"/>
  <c r="G61" i="3"/>
  <c r="J8" i="3"/>
  <c r="G50" i="3"/>
  <c r="J21" i="3"/>
  <c r="G38" i="3"/>
  <c r="G55" i="3"/>
  <c r="J64" i="3"/>
  <c r="J7" i="3"/>
  <c r="G12" i="3"/>
  <c r="G60" i="3"/>
  <c r="J39" i="3"/>
  <c r="G9" i="3"/>
  <c r="G25" i="3"/>
  <c r="G67" i="3"/>
  <c r="C57" i="6"/>
  <c r="C58" i="6"/>
  <c r="C71" i="6"/>
  <c r="L10" i="6"/>
  <c r="C59" i="6"/>
  <c r="C22" i="6"/>
  <c r="P10" i="6"/>
  <c r="N10" i="6"/>
  <c r="J10" i="6"/>
  <c r="M10" i="6"/>
  <c r="C63" i="6"/>
  <c r="C30" i="6"/>
  <c r="C70" i="6"/>
  <c r="C69" i="6"/>
  <c r="C25" i="6"/>
  <c r="C49" i="6"/>
  <c r="C34" i="6"/>
  <c r="C61" i="6"/>
  <c r="C24" i="6"/>
  <c r="C31" i="6"/>
  <c r="C62" i="6"/>
  <c r="C67" i="6"/>
  <c r="C68" i="6"/>
  <c r="C66" i="6"/>
  <c r="F50" i="6"/>
  <c r="C40" i="6"/>
  <c r="C17" i="6"/>
  <c r="C15" i="6"/>
  <c r="C52" i="6"/>
  <c r="C23" i="6"/>
  <c r="C54" i="6"/>
  <c r="C14" i="6"/>
  <c r="C13" i="6"/>
  <c r="C60" i="6"/>
  <c r="C39" i="6"/>
  <c r="C35" i="6"/>
  <c r="C38" i="6"/>
  <c r="M59" i="6"/>
  <c r="C16" i="6"/>
  <c r="H59" i="6"/>
  <c r="C44" i="6"/>
  <c r="G59" i="6"/>
  <c r="N59" i="6"/>
  <c r="L59" i="6"/>
  <c r="O59" i="6"/>
  <c r="P59" i="6"/>
  <c r="I59" i="6"/>
  <c r="K59" i="6"/>
  <c r="C41" i="6"/>
  <c r="O10" i="6"/>
  <c r="G10" i="6"/>
  <c r="I10" i="6"/>
  <c r="K10" i="6"/>
  <c r="J68" i="6"/>
  <c r="N31" i="6"/>
  <c r="L68" i="6"/>
  <c r="C64" i="6"/>
  <c r="C47" i="6"/>
  <c r="J15" i="6"/>
  <c r="I31" i="6"/>
  <c r="C51" i="6"/>
  <c r="C65" i="6"/>
  <c r="C10" i="6"/>
  <c r="C45" i="6"/>
  <c r="C11" i="6"/>
  <c r="L15" i="6"/>
  <c r="C73" i="6"/>
  <c r="G15" i="6"/>
  <c r="C36" i="6"/>
  <c r="C48" i="6"/>
  <c r="K40" i="6"/>
  <c r="C37" i="6"/>
  <c r="I40" i="6"/>
  <c r="C20" i="6"/>
  <c r="C12" i="6"/>
  <c r="C21" i="6"/>
  <c r="C27" i="6"/>
  <c r="C53" i="6"/>
  <c r="M40" i="6"/>
  <c r="C28" i="6"/>
  <c r="C32" i="6"/>
  <c r="G40" i="6"/>
  <c r="L40" i="6"/>
  <c r="J40" i="6"/>
  <c r="C43" i="6"/>
  <c r="C42" i="6"/>
  <c r="P40" i="6"/>
  <c r="H40" i="6"/>
  <c r="O40" i="6"/>
  <c r="C29" i="6"/>
  <c r="C33" i="6"/>
  <c r="C50" i="6"/>
  <c r="C56" i="6"/>
  <c r="C19" i="6"/>
  <c r="C46" i="6"/>
  <c r="C26" i="6"/>
  <c r="F54" i="6"/>
  <c r="C55" i="6"/>
  <c r="C72" i="6"/>
  <c r="C18" i="6"/>
  <c r="L31" i="6"/>
  <c r="H31" i="6"/>
  <c r="O31" i="6"/>
  <c r="K31" i="6"/>
  <c r="G31" i="6"/>
  <c r="M31" i="6"/>
  <c r="J31" i="6"/>
  <c r="O15" i="6"/>
  <c r="I15" i="6"/>
  <c r="O68" i="6"/>
  <c r="M68" i="6"/>
  <c r="M15" i="6"/>
  <c r="P68" i="6"/>
  <c r="G68" i="6"/>
  <c r="P15" i="6"/>
  <c r="H15" i="6"/>
  <c r="N68" i="6"/>
  <c r="I68" i="6"/>
  <c r="H68" i="6"/>
  <c r="K15" i="6"/>
  <c r="H32" i="6"/>
  <c r="M32" i="6"/>
  <c r="P32" i="6"/>
  <c r="N32" i="6"/>
  <c r="L32" i="6"/>
  <c r="J32" i="6"/>
  <c r="I32" i="6"/>
  <c r="G32" i="6"/>
  <c r="O32" i="6"/>
  <c r="K32" i="6"/>
  <c r="J63" i="6"/>
  <c r="H63" i="6"/>
  <c r="L63" i="6"/>
  <c r="M63" i="6"/>
  <c r="G63" i="6"/>
  <c r="I63" i="6"/>
  <c r="P63" i="6"/>
  <c r="O63" i="6"/>
  <c r="N63" i="6"/>
  <c r="K63" i="6"/>
  <c r="H44" i="6"/>
  <c r="K44" i="6"/>
  <c r="O44" i="6"/>
  <c r="J44" i="6"/>
  <c r="L44" i="6"/>
  <c r="M44" i="6"/>
  <c r="I44" i="6"/>
  <c r="N44" i="6"/>
  <c r="P44" i="6"/>
  <c r="G44" i="6"/>
  <c r="H62" i="6"/>
  <c r="J62" i="6"/>
  <c r="O62" i="6"/>
  <c r="L62" i="6"/>
  <c r="I62" i="6"/>
  <c r="N62" i="6"/>
  <c r="M62" i="6"/>
  <c r="P62" i="6"/>
  <c r="G62" i="6"/>
  <c r="K62" i="6"/>
  <c r="M16" i="6"/>
  <c r="J16" i="6"/>
  <c r="O16" i="6"/>
  <c r="K16" i="6"/>
  <c r="P16" i="6"/>
  <c r="H16" i="6"/>
  <c r="G16" i="6"/>
  <c r="I16" i="6"/>
  <c r="N16" i="6"/>
  <c r="L16" i="6"/>
  <c r="P80" i="6"/>
  <c r="H80" i="6"/>
  <c r="K80" i="6"/>
  <c r="N80" i="6"/>
  <c r="I80" i="6"/>
  <c r="L80" i="6"/>
  <c r="O80" i="6"/>
  <c r="G80" i="6"/>
  <c r="M80" i="6"/>
  <c r="J80" i="6"/>
  <c r="L64" i="6"/>
  <c r="N64" i="6"/>
  <c r="I64" i="6"/>
  <c r="K64" i="6"/>
  <c r="O64" i="6"/>
  <c r="J64" i="6"/>
  <c r="P64" i="6"/>
  <c r="M64" i="6"/>
  <c r="H64" i="6"/>
  <c r="G64" i="6"/>
  <c r="I49" i="6"/>
  <c r="L49" i="6"/>
  <c r="H49" i="6"/>
  <c r="J49" i="6"/>
  <c r="K49" i="6"/>
  <c r="M49" i="6"/>
  <c r="G49" i="6"/>
  <c r="P49" i="6"/>
  <c r="O49" i="6"/>
  <c r="N49" i="6"/>
  <c r="M19" i="6"/>
  <c r="I19" i="6"/>
  <c r="H19" i="6"/>
  <c r="P19" i="6"/>
  <c r="N19" i="6"/>
  <c r="G19" i="6"/>
  <c r="O19" i="6"/>
  <c r="J19" i="6"/>
  <c r="L19" i="6"/>
  <c r="K19" i="6"/>
  <c r="P41" i="6"/>
  <c r="N41" i="6"/>
  <c r="I41" i="6"/>
  <c r="J41" i="6"/>
  <c r="H41" i="6"/>
  <c r="L41" i="6"/>
  <c r="O41" i="6"/>
  <c r="K41" i="6"/>
  <c r="M41" i="6"/>
  <c r="G41" i="6"/>
  <c r="N23" i="6"/>
  <c r="K23" i="6"/>
  <c r="G23" i="6"/>
  <c r="I23" i="6"/>
  <c r="P23" i="6"/>
  <c r="L23" i="6"/>
  <c r="H23" i="6"/>
  <c r="O23" i="6"/>
  <c r="J23" i="6"/>
  <c r="M23" i="6"/>
  <c r="P24" i="6"/>
  <c r="J24" i="6"/>
  <c r="L24" i="6"/>
  <c r="I24" i="6"/>
  <c r="G24" i="6"/>
  <c r="M24" i="6"/>
  <c r="K24" i="6"/>
  <c r="N24" i="6"/>
  <c r="H24" i="6"/>
  <c r="O24" i="6"/>
  <c r="H47" i="6"/>
  <c r="L47" i="6"/>
  <c r="G47" i="6"/>
  <c r="J47" i="6"/>
  <c r="M47" i="6"/>
  <c r="I47" i="6"/>
  <c r="O47" i="6"/>
  <c r="N47" i="6"/>
  <c r="K47" i="6"/>
  <c r="P47" i="6"/>
  <c r="J78" i="6"/>
  <c r="H78" i="6"/>
  <c r="N78" i="6"/>
  <c r="P78" i="6"/>
  <c r="G78" i="6"/>
  <c r="I78" i="6"/>
  <c r="L78" i="6"/>
  <c r="M78" i="6"/>
  <c r="K78" i="6"/>
  <c r="O78" i="6"/>
  <c r="H48" i="6"/>
  <c r="L48" i="6"/>
  <c r="P48" i="6"/>
  <c r="O48" i="6"/>
  <c r="J48" i="6"/>
  <c r="M48" i="6"/>
  <c r="K48" i="6"/>
  <c r="N48" i="6"/>
  <c r="I48" i="6"/>
  <c r="G48" i="6"/>
  <c r="I60" i="6"/>
  <c r="P60" i="6"/>
  <c r="J60" i="6"/>
  <c r="G60" i="6"/>
  <c r="O60" i="6"/>
  <c r="L60" i="6"/>
  <c r="K60" i="6"/>
  <c r="H60" i="6"/>
  <c r="M60" i="6"/>
  <c r="N60" i="6"/>
  <c r="O18" i="6"/>
  <c r="N18" i="6"/>
  <c r="K18" i="6"/>
  <c r="L18" i="6"/>
  <c r="G18" i="6"/>
  <c r="J18" i="6"/>
  <c r="P18" i="6"/>
  <c r="H18" i="6"/>
  <c r="I18" i="6"/>
  <c r="M18" i="6"/>
  <c r="H11" i="6"/>
  <c r="J11" i="6"/>
  <c r="N11" i="6"/>
  <c r="O11" i="6"/>
  <c r="G11" i="6"/>
  <c r="P11" i="6"/>
  <c r="I11" i="6"/>
  <c r="L11" i="6"/>
  <c r="M11" i="6"/>
  <c r="K11" i="6"/>
  <c r="J54" i="6"/>
  <c r="O54" i="6"/>
  <c r="G54" i="6"/>
  <c r="N54" i="6"/>
  <c r="I54" i="6"/>
  <c r="K54" i="6"/>
  <c r="H54" i="6"/>
  <c r="M54" i="6"/>
  <c r="L54" i="6"/>
  <c r="P54" i="6"/>
  <c r="L56" i="6"/>
  <c r="I56" i="6"/>
  <c r="H56" i="6"/>
  <c r="O56" i="6"/>
  <c r="K56" i="6"/>
  <c r="G56" i="6"/>
  <c r="M56" i="6"/>
  <c r="J56" i="6"/>
  <c r="P56" i="6"/>
  <c r="N56" i="6"/>
  <c r="N25" i="6"/>
  <c r="M25" i="6"/>
  <c r="G25" i="6"/>
  <c r="K25" i="6"/>
  <c r="P25" i="6"/>
  <c r="O25" i="6"/>
  <c r="L25" i="6"/>
  <c r="H25" i="6"/>
  <c r="J25" i="6"/>
  <c r="I25" i="6"/>
  <c r="K14" i="6"/>
  <c r="I14" i="6"/>
  <c r="O14" i="6"/>
  <c r="H14" i="6"/>
  <c r="P14" i="6"/>
  <c r="J14" i="6"/>
  <c r="G14" i="6"/>
  <c r="M14" i="6"/>
  <c r="N14" i="6"/>
  <c r="L14" i="6"/>
  <c r="H36" i="6"/>
  <c r="I36" i="6"/>
  <c r="G36" i="6"/>
  <c r="M36" i="6"/>
  <c r="L36" i="6"/>
  <c r="O36" i="6"/>
  <c r="J36" i="6"/>
  <c r="P36" i="6"/>
  <c r="N36" i="6"/>
  <c r="K36" i="6"/>
  <c r="M26" i="6"/>
  <c r="H26" i="6"/>
  <c r="L26" i="6"/>
  <c r="O26" i="6"/>
  <c r="G26" i="6"/>
  <c r="K26" i="6"/>
  <c r="N26" i="6"/>
  <c r="I26" i="6"/>
  <c r="J26" i="6"/>
  <c r="P26" i="6"/>
  <c r="J20" i="6"/>
  <c r="O20" i="6"/>
  <c r="L20" i="6"/>
  <c r="G20" i="6"/>
  <c r="I20" i="6"/>
  <c r="K20" i="6"/>
  <c r="P20" i="6"/>
  <c r="N20" i="6"/>
  <c r="H20" i="6"/>
  <c r="M20" i="6"/>
  <c r="L34" i="6"/>
  <c r="P34" i="6"/>
  <c r="I34" i="6"/>
  <c r="M34" i="6"/>
  <c r="G34" i="6"/>
  <c r="N34" i="6"/>
  <c r="K34" i="6"/>
  <c r="H34" i="6"/>
  <c r="O34" i="6"/>
  <c r="J34" i="6"/>
  <c r="I75" i="6"/>
  <c r="P75" i="6"/>
  <c r="M75" i="6"/>
  <c r="J75" i="6"/>
  <c r="G75" i="6"/>
  <c r="L75" i="6"/>
  <c r="O75" i="6"/>
  <c r="N75" i="6"/>
  <c r="H75" i="6"/>
  <c r="K75" i="6"/>
  <c r="N29" i="6"/>
  <c r="K29" i="6"/>
  <c r="G29" i="6"/>
  <c r="L29" i="6"/>
  <c r="P29" i="6"/>
  <c r="H29" i="6"/>
  <c r="M29" i="6"/>
  <c r="I29" i="6"/>
  <c r="J29" i="6"/>
  <c r="O29" i="6"/>
  <c r="M65" i="6"/>
  <c r="I65" i="6"/>
  <c r="P65" i="6"/>
  <c r="L65" i="6"/>
  <c r="N65" i="6"/>
  <c r="H65" i="6"/>
  <c r="G65" i="6"/>
  <c r="O65" i="6"/>
  <c r="J65" i="6"/>
  <c r="K65" i="6"/>
  <c r="G70" i="6"/>
  <c r="I70" i="6"/>
  <c r="O70" i="6"/>
  <c r="N70" i="6"/>
  <c r="M70" i="6"/>
  <c r="L70" i="6"/>
  <c r="J70" i="6"/>
  <c r="P70" i="6"/>
  <c r="K70" i="6"/>
  <c r="H70" i="6"/>
  <c r="J35" i="6"/>
  <c r="M35" i="6"/>
  <c r="O35" i="6"/>
  <c r="K35" i="6"/>
  <c r="I35" i="6"/>
  <c r="P35" i="6"/>
  <c r="L35" i="6"/>
  <c r="N35" i="6"/>
  <c r="G35" i="6"/>
  <c r="H35" i="6"/>
  <c r="J61" i="6"/>
  <c r="P61" i="6"/>
  <c r="I61" i="6"/>
  <c r="M61" i="6"/>
  <c r="G61" i="6"/>
  <c r="O61" i="6"/>
  <c r="N61" i="6"/>
  <c r="K61" i="6"/>
  <c r="L61" i="6"/>
  <c r="H61" i="6"/>
  <c r="G58" i="6"/>
  <c r="J58" i="6"/>
  <c r="H58" i="6"/>
  <c r="L58" i="6"/>
  <c r="P58" i="6"/>
  <c r="I58" i="6"/>
  <c r="O58" i="6"/>
  <c r="M58" i="6"/>
  <c r="N58" i="6"/>
  <c r="K58" i="6"/>
  <c r="N45" i="6"/>
  <c r="P45" i="6"/>
  <c r="I45" i="6"/>
  <c r="L45" i="6"/>
  <c r="J45" i="6"/>
  <c r="K45" i="6"/>
  <c r="H45" i="6"/>
  <c r="M45" i="6"/>
  <c r="O45" i="6"/>
  <c r="G45" i="6"/>
  <c r="J12" i="6"/>
  <c r="P12" i="6"/>
  <c r="K12" i="6"/>
  <c r="N12" i="6"/>
  <c r="H12" i="6"/>
  <c r="M12" i="6"/>
  <c r="G12" i="6"/>
  <c r="I12" i="6"/>
  <c r="O12" i="6"/>
  <c r="L12" i="6"/>
  <c r="N73" i="6"/>
  <c r="L73" i="6"/>
  <c r="K73" i="6"/>
  <c r="P73" i="6"/>
  <c r="J73" i="6"/>
  <c r="I73" i="6"/>
  <c r="M73" i="6"/>
  <c r="H73" i="6"/>
  <c r="G73" i="6"/>
  <c r="O73" i="6"/>
  <c r="L79" i="6"/>
  <c r="O79" i="6"/>
  <c r="M79" i="6"/>
  <c r="J79" i="6"/>
  <c r="P79" i="6"/>
  <c r="H79" i="6"/>
  <c r="G79" i="6"/>
  <c r="I79" i="6"/>
  <c r="K79" i="6"/>
  <c r="N79" i="6"/>
  <c r="O76" i="6"/>
  <c r="J76" i="6"/>
  <c r="K76" i="6"/>
  <c r="H76" i="6"/>
  <c r="I76" i="6"/>
  <c r="G76" i="6"/>
  <c r="L76" i="6"/>
  <c r="M76" i="6"/>
  <c r="N76" i="6"/>
  <c r="P76" i="6"/>
  <c r="J38" i="6"/>
  <c r="M38" i="6"/>
  <c r="N38" i="6"/>
  <c r="G38" i="6"/>
  <c r="P38" i="6"/>
  <c r="I38" i="6"/>
  <c r="K38" i="6"/>
  <c r="H38" i="6"/>
  <c r="O38" i="6"/>
  <c r="L38" i="6"/>
  <c r="M66" i="6"/>
  <c r="H66" i="6"/>
  <c r="I66" i="6"/>
  <c r="K66" i="6"/>
  <c r="P66" i="6"/>
  <c r="L66" i="6"/>
  <c r="G66" i="6"/>
  <c r="N66" i="6"/>
  <c r="J66" i="6"/>
  <c r="O66" i="6"/>
  <c r="N50" i="6"/>
  <c r="J50" i="6"/>
  <c r="I50" i="6"/>
  <c r="G50" i="6"/>
  <c r="H50" i="6"/>
  <c r="L50" i="6"/>
  <c r="P50" i="6"/>
  <c r="O50" i="6"/>
  <c r="K50" i="6"/>
  <c r="M50" i="6"/>
  <c r="G30" i="6"/>
  <c r="O30" i="6"/>
  <c r="P30" i="6"/>
  <c r="J30" i="6"/>
  <c r="M30" i="6"/>
  <c r="L30" i="6"/>
  <c r="N30" i="6"/>
  <c r="I30" i="6"/>
  <c r="H30" i="6"/>
  <c r="K30" i="6"/>
  <c r="J17" i="6"/>
  <c r="I17" i="6"/>
  <c r="H17" i="6"/>
  <c r="N17" i="6"/>
  <c r="K17" i="6"/>
  <c r="P17" i="6"/>
  <c r="M17" i="6"/>
  <c r="G17" i="6"/>
  <c r="L17" i="6"/>
  <c r="O17" i="6"/>
  <c r="G55" i="6"/>
  <c r="O55" i="6"/>
  <c r="L55" i="6"/>
  <c r="N55" i="6"/>
  <c r="J55" i="6"/>
  <c r="H55" i="6"/>
  <c r="P55" i="6"/>
  <c r="K55" i="6"/>
  <c r="M55" i="6"/>
  <c r="I55" i="6"/>
  <c r="M53" i="6"/>
  <c r="G53" i="6"/>
  <c r="H53" i="6"/>
  <c r="J53" i="6"/>
  <c r="K53" i="6"/>
  <c r="L53" i="6"/>
  <c r="O53" i="6"/>
  <c r="P53" i="6"/>
  <c r="I53" i="6"/>
  <c r="N53" i="6"/>
  <c r="N22" i="6"/>
  <c r="M22" i="6"/>
  <c r="I22" i="6"/>
  <c r="H22" i="6"/>
  <c r="O22" i="6"/>
  <c r="P22" i="6"/>
  <c r="K22" i="6"/>
  <c r="J22" i="6"/>
  <c r="L22" i="6"/>
  <c r="G22" i="6"/>
  <c r="O39" i="6"/>
  <c r="M39" i="6"/>
  <c r="J39" i="6"/>
  <c r="G39" i="6"/>
  <c r="K39" i="6"/>
  <c r="N39" i="6"/>
  <c r="I39" i="6"/>
  <c r="P39" i="6"/>
  <c r="L39" i="6"/>
  <c r="H39" i="6"/>
  <c r="M33" i="6"/>
  <c r="O33" i="6"/>
  <c r="P33" i="6"/>
  <c r="N33" i="6"/>
  <c r="L33" i="6"/>
  <c r="G33" i="6"/>
  <c r="K33" i="6"/>
  <c r="H33" i="6"/>
  <c r="I33" i="6"/>
  <c r="J33" i="6"/>
  <c r="I69" i="6"/>
  <c r="P69" i="6"/>
  <c r="N69" i="6"/>
  <c r="K69" i="6"/>
  <c r="M69" i="6"/>
  <c r="O69" i="6"/>
  <c r="L69" i="6"/>
  <c r="H69" i="6"/>
  <c r="G69" i="6"/>
  <c r="J69" i="6"/>
  <c r="O52" i="6"/>
  <c r="I52" i="6"/>
  <c r="G52" i="6"/>
  <c r="N52" i="6"/>
  <c r="J52" i="6"/>
  <c r="M52" i="6"/>
  <c r="K52" i="6"/>
  <c r="P52" i="6"/>
  <c r="L52" i="6"/>
  <c r="H52" i="6"/>
  <c r="P37" i="6"/>
  <c r="J37" i="6"/>
  <c r="G37" i="6"/>
  <c r="M37" i="6"/>
  <c r="I37" i="6"/>
  <c r="O37" i="6"/>
  <c r="N37" i="6"/>
  <c r="K37" i="6"/>
  <c r="L37" i="6"/>
  <c r="H37" i="6"/>
  <c r="L74" i="6"/>
  <c r="G74" i="6"/>
  <c r="J74" i="6"/>
  <c r="P74" i="6"/>
  <c r="H74" i="6"/>
  <c r="M74" i="6"/>
  <c r="N74" i="6"/>
  <c r="K74" i="6"/>
  <c r="O74" i="6"/>
  <c r="I74" i="6"/>
  <c r="J43" i="6"/>
  <c r="L43" i="6"/>
  <c r="G43" i="6"/>
  <c r="H43" i="6"/>
  <c r="I43" i="6"/>
  <c r="O43" i="6"/>
  <c r="M43" i="6"/>
  <c r="P43" i="6"/>
  <c r="K43" i="6"/>
  <c r="N43" i="6"/>
  <c r="G13" i="6"/>
  <c r="I13" i="6"/>
  <c r="P13" i="6"/>
  <c r="J13" i="6"/>
  <c r="O13" i="6"/>
  <c r="H13" i="6"/>
  <c r="K13" i="6"/>
  <c r="N13" i="6"/>
  <c r="M13" i="6"/>
  <c r="L13" i="6"/>
  <c r="I77" i="6"/>
  <c r="P77" i="6"/>
  <c r="L77" i="6"/>
  <c r="N77" i="6"/>
  <c r="K77" i="6"/>
  <c r="M77" i="6"/>
  <c r="H77" i="6"/>
  <c r="G77" i="6"/>
  <c r="J77" i="6"/>
  <c r="O77" i="6"/>
  <c r="L27" i="6"/>
  <c r="O27" i="6"/>
  <c r="P27" i="6"/>
  <c r="I27" i="6"/>
  <c r="H27" i="6"/>
  <c r="M27" i="6"/>
  <c r="J27" i="6"/>
  <c r="G27" i="6"/>
  <c r="K27" i="6"/>
  <c r="N27" i="6"/>
  <c r="L57" i="6"/>
  <c r="I57" i="6"/>
  <c r="G57" i="6"/>
  <c r="H57" i="6"/>
  <c r="N57" i="6"/>
  <c r="O57" i="6"/>
  <c r="K57" i="6"/>
  <c r="J57" i="6"/>
  <c r="M57" i="6"/>
  <c r="P57" i="6"/>
  <c r="N21" i="6"/>
  <c r="P21" i="6"/>
  <c r="K21" i="6"/>
  <c r="M21" i="6"/>
  <c r="G21" i="6"/>
  <c r="L21" i="6"/>
  <c r="I21" i="6"/>
  <c r="H21" i="6"/>
  <c r="J21" i="6"/>
  <c r="O21" i="6"/>
  <c r="K72" i="6"/>
  <c r="P72" i="6"/>
  <c r="M72" i="6"/>
  <c r="J72" i="6"/>
  <c r="O72" i="6"/>
  <c r="I72" i="6"/>
  <c r="N72" i="6"/>
  <c r="G72" i="6"/>
  <c r="L72" i="6"/>
  <c r="H72" i="6"/>
  <c r="I71" i="6"/>
  <c r="N71" i="6"/>
  <c r="J71" i="6"/>
  <c r="G71" i="6"/>
  <c r="P71" i="6"/>
  <c r="M71" i="6"/>
  <c r="K71" i="6"/>
  <c r="O71" i="6"/>
  <c r="H71" i="6"/>
  <c r="L71" i="6"/>
  <c r="G28" i="6"/>
  <c r="P28" i="6"/>
  <c r="I28" i="6"/>
  <c r="N28" i="6"/>
  <c r="J28" i="6"/>
  <c r="L28" i="6"/>
  <c r="M28" i="6"/>
  <c r="K28" i="6"/>
  <c r="O28" i="6"/>
  <c r="H28" i="6"/>
  <c r="I51" i="6"/>
  <c r="P51" i="6"/>
  <c r="J51" i="6"/>
  <c r="L51" i="6"/>
  <c r="G51" i="6"/>
  <c r="H51" i="6"/>
  <c r="O51" i="6"/>
  <c r="N51" i="6"/>
  <c r="M51" i="6"/>
  <c r="K51" i="6"/>
  <c r="J46" i="6"/>
  <c r="G46" i="6"/>
  <c r="K46" i="6"/>
  <c r="O46" i="6"/>
  <c r="N46" i="6"/>
  <c r="L46" i="6"/>
  <c r="H46" i="6"/>
  <c r="M46" i="6"/>
  <c r="I46" i="6"/>
  <c r="P46" i="6"/>
  <c r="L67" i="6"/>
  <c r="K67" i="6"/>
  <c r="P67" i="6"/>
  <c r="G67" i="6"/>
  <c r="I67" i="6"/>
  <c r="N67" i="6"/>
  <c r="J67" i="6"/>
  <c r="M67" i="6"/>
  <c r="H67" i="6"/>
  <c r="O67" i="6"/>
  <c r="G16" i="9"/>
  <c r="H15" i="9" s="1"/>
  <c r="E6" i="3"/>
  <c r="L3" i="1" s="1"/>
  <c r="C6" i="3"/>
  <c r="J3" i="1" s="1"/>
  <c r="H6" i="3"/>
  <c r="O3" i="1" s="1"/>
  <c r="I6" i="3"/>
  <c r="P3" i="1" s="1"/>
  <c r="L6" i="3"/>
  <c r="B6" i="3" l="1"/>
  <c r="I3" i="1" s="1"/>
  <c r="K6" i="3"/>
  <c r="R3" i="1" s="1"/>
  <c r="J6" i="3"/>
  <c r="Q3" i="1" s="1"/>
  <c r="G6" i="3"/>
  <c r="N3" i="1" s="1"/>
  <c r="BH52" i="6"/>
  <c r="BO11" i="6"/>
  <c r="BI17" i="6"/>
  <c r="BI20" i="6"/>
  <c r="BK22" i="6"/>
  <c r="BM20" i="6"/>
  <c r="BP11" i="6"/>
  <c r="BH11" i="6"/>
  <c r="BL25" i="6"/>
  <c r="BK11" i="6"/>
  <c r="BM16" i="6"/>
  <c r="BG16" i="6"/>
  <c r="BI16" i="6"/>
  <c r="BG22" i="6"/>
  <c r="BH10" i="6"/>
  <c r="BL17" i="6"/>
  <c r="BJ17" i="6"/>
  <c r="BO17" i="6"/>
  <c r="BO18" i="6"/>
  <c r="BJ20" i="6"/>
  <c r="BP15" i="6"/>
  <c r="BI15" i="6"/>
  <c r="BN12" i="6"/>
  <c r="BO10" i="6"/>
  <c r="BJ10" i="6"/>
  <c r="BN10" i="6"/>
  <c r="BK21" i="6"/>
  <c r="BO25" i="6"/>
  <c r="BP22" i="6"/>
  <c r="BL13" i="6"/>
  <c r="BL12" i="6"/>
  <c r="BP14" i="6"/>
  <c r="BP27" i="6"/>
  <c r="BO16" i="6"/>
  <c r="BI33" i="6"/>
  <c r="BN15" i="6"/>
  <c r="BI49" i="6"/>
  <c r="BN55" i="6"/>
  <c r="BN64" i="6"/>
  <c r="BN37" i="6"/>
  <c r="BH39" i="6"/>
  <c r="BH57" i="6"/>
  <c r="BH66" i="6"/>
  <c r="BM49" i="6"/>
  <c r="BM31" i="6"/>
  <c r="BN41" i="6"/>
  <c r="BN73" i="6"/>
  <c r="BN68" i="6"/>
  <c r="BN59" i="6"/>
  <c r="BG60" i="6"/>
  <c r="BG71" i="6"/>
  <c r="BG76" i="6"/>
  <c r="BG62" i="6"/>
  <c r="BG44" i="6"/>
  <c r="BG78" i="6"/>
  <c r="BJ38" i="6"/>
  <c r="BJ65" i="6"/>
  <c r="BJ56" i="6"/>
  <c r="BM35" i="6"/>
  <c r="BM53" i="6"/>
  <c r="BP30" i="6"/>
  <c r="BP48" i="6"/>
  <c r="BL21" i="6"/>
  <c r="BG25" i="6"/>
  <c r="BI12" i="6"/>
  <c r="BG47" i="6"/>
  <c r="BG29" i="6"/>
  <c r="BN72" i="6"/>
  <c r="BN63" i="6"/>
  <c r="BN80" i="6"/>
  <c r="BN45" i="6"/>
  <c r="BN79" i="6"/>
  <c r="BN77" i="6"/>
  <c r="BO21" i="6"/>
  <c r="BN22" i="6"/>
  <c r="BM11" i="6"/>
  <c r="BK16" i="6"/>
  <c r="BH16" i="6"/>
  <c r="BP16" i="6"/>
  <c r="BL36" i="6"/>
  <c r="BL54" i="6"/>
  <c r="BM36" i="6"/>
  <c r="BM54" i="6"/>
  <c r="BN54" i="6"/>
  <c r="BN36" i="6"/>
  <c r="BG64" i="6"/>
  <c r="BG55" i="6"/>
  <c r="BJ37" i="6"/>
  <c r="BJ64" i="6"/>
  <c r="BJ55" i="6"/>
  <c r="BJ22" i="6"/>
  <c r="BH22" i="6"/>
  <c r="BG51" i="6"/>
  <c r="BG69" i="6"/>
  <c r="BG42" i="6"/>
  <c r="BG74" i="6"/>
  <c r="BG33" i="6"/>
  <c r="BN69" i="6"/>
  <c r="BN60" i="6"/>
  <c r="BN74" i="6"/>
  <c r="BN51" i="6"/>
  <c r="BN42" i="6"/>
  <c r="BI66" i="6"/>
  <c r="BI39" i="6"/>
  <c r="BI57" i="6"/>
  <c r="BM30" i="6"/>
  <c r="BM39" i="6"/>
  <c r="BM66" i="6"/>
  <c r="BM57" i="6"/>
  <c r="BG57" i="6"/>
  <c r="BG66" i="6"/>
  <c r="BH17" i="6"/>
  <c r="BM17" i="6"/>
  <c r="BK34" i="6"/>
  <c r="BK52" i="6"/>
  <c r="BG10" i="6"/>
  <c r="BP18" i="6"/>
  <c r="BJ18" i="6"/>
  <c r="BH20" i="6"/>
  <c r="BO20" i="6"/>
  <c r="BO15" i="6"/>
  <c r="BG15" i="6"/>
  <c r="BO31" i="6"/>
  <c r="BO49" i="6"/>
  <c r="BL49" i="6"/>
  <c r="BL31" i="6"/>
  <c r="BH31" i="6"/>
  <c r="BH49" i="6"/>
  <c r="BH15" i="6"/>
  <c r="BG17" i="6"/>
  <c r="BP59" i="6"/>
  <c r="BP68" i="6"/>
  <c r="BP73" i="6"/>
  <c r="BP41" i="6"/>
  <c r="BG59" i="6"/>
  <c r="BG73" i="6"/>
  <c r="BG68" i="6"/>
  <c r="BJ59" i="6"/>
  <c r="BJ41" i="6"/>
  <c r="BJ68" i="6"/>
  <c r="BJ73" i="6"/>
  <c r="BI62" i="6"/>
  <c r="BI44" i="6"/>
  <c r="BI78" i="6"/>
  <c r="BI76" i="6"/>
  <c r="BI71" i="6"/>
  <c r="BJ62" i="6"/>
  <c r="BJ76" i="6"/>
  <c r="BJ71" i="6"/>
  <c r="BJ78" i="6"/>
  <c r="BJ44" i="6"/>
  <c r="BO65" i="6"/>
  <c r="BO56" i="6"/>
  <c r="BO38" i="6"/>
  <c r="BI56" i="6"/>
  <c r="BI38" i="6"/>
  <c r="BI65" i="6"/>
  <c r="BL65" i="6"/>
  <c r="BL38" i="6"/>
  <c r="BK10" i="6"/>
  <c r="BP10" i="6"/>
  <c r="BH26" i="6"/>
  <c r="BO26" i="6"/>
  <c r="BP26" i="6"/>
  <c r="BH53" i="6"/>
  <c r="BL29" i="6"/>
  <c r="BL53" i="6"/>
  <c r="BL35" i="6"/>
  <c r="BI35" i="6"/>
  <c r="BI53" i="6"/>
  <c r="BO48" i="6"/>
  <c r="BO30" i="6"/>
  <c r="BL48" i="6"/>
  <c r="BL30" i="6"/>
  <c r="BN40" i="6"/>
  <c r="BN67" i="6"/>
  <c r="BN58" i="6"/>
  <c r="BJ67" i="6"/>
  <c r="BJ58" i="6"/>
  <c r="BJ40" i="6"/>
  <c r="BN21" i="6"/>
  <c r="BG21" i="6"/>
  <c r="BI21" i="6"/>
  <c r="BM19" i="6"/>
  <c r="BG24" i="6"/>
  <c r="BI25" i="6"/>
  <c r="BK13" i="6"/>
  <c r="BK43" i="6"/>
  <c r="BK75" i="6"/>
  <c r="BK61" i="6"/>
  <c r="BK70" i="6"/>
  <c r="BG70" i="6"/>
  <c r="BG75" i="6"/>
  <c r="BG61" i="6"/>
  <c r="BG43" i="6"/>
  <c r="BJ70" i="6"/>
  <c r="BJ75" i="6"/>
  <c r="BJ61" i="6"/>
  <c r="BJ43" i="6"/>
  <c r="BO12" i="6"/>
  <c r="BG12" i="6"/>
  <c r="BO14" i="6"/>
  <c r="BK14" i="6"/>
  <c r="BI14" i="6"/>
  <c r="BP47" i="6"/>
  <c r="BP29" i="6"/>
  <c r="BI47" i="6"/>
  <c r="BI29" i="6"/>
  <c r="BM79" i="6"/>
  <c r="BM80" i="6"/>
  <c r="BM63" i="6"/>
  <c r="BM72" i="6"/>
  <c r="BM77" i="6"/>
  <c r="BM45" i="6"/>
  <c r="BI77" i="6"/>
  <c r="BI72" i="6"/>
  <c r="BI79" i="6"/>
  <c r="BI63" i="6"/>
  <c r="BI45" i="6"/>
  <c r="BI80" i="6"/>
  <c r="BP45" i="6"/>
  <c r="BP79" i="6"/>
  <c r="BP63" i="6"/>
  <c r="BP77" i="6"/>
  <c r="BP80" i="6"/>
  <c r="BP72" i="6"/>
  <c r="BG27" i="6"/>
  <c r="BH27" i="6"/>
  <c r="BN46" i="6"/>
  <c r="BN28" i="6"/>
  <c r="BG46" i="6"/>
  <c r="BG28" i="6"/>
  <c r="BJ46" i="6"/>
  <c r="BH36" i="6"/>
  <c r="BH54" i="6"/>
  <c r="BI36" i="6"/>
  <c r="BI54" i="6"/>
  <c r="BH69" i="6"/>
  <c r="BH24" i="6"/>
  <c r="BH74" i="6"/>
  <c r="BH33" i="6"/>
  <c r="BH60" i="6"/>
  <c r="BH51" i="6"/>
  <c r="BH42" i="6"/>
  <c r="BL66" i="6"/>
  <c r="BL57" i="6"/>
  <c r="BL39" i="6"/>
  <c r="BL34" i="6"/>
  <c r="BL52" i="6"/>
  <c r="BH18" i="6"/>
  <c r="BG20" i="6"/>
  <c r="BJ31" i="6"/>
  <c r="BJ49" i="6"/>
  <c r="BI68" i="6"/>
  <c r="BI41" i="6"/>
  <c r="BI59" i="6"/>
  <c r="BI73" i="6"/>
  <c r="BM44" i="6"/>
  <c r="BM71" i="6"/>
  <c r="BM76" i="6"/>
  <c r="BM62" i="6"/>
  <c r="BM78" i="6"/>
  <c r="BN65" i="6"/>
  <c r="BN56" i="6"/>
  <c r="BN38" i="6"/>
  <c r="BG26" i="6"/>
  <c r="BG35" i="6"/>
  <c r="BG53" i="6"/>
  <c r="BO58" i="6"/>
  <c r="BO40" i="6"/>
  <c r="BG19" i="6"/>
  <c r="BH25" i="6"/>
  <c r="BM13" i="6"/>
  <c r="BP43" i="6"/>
  <c r="BP75" i="6"/>
  <c r="BP70" i="6"/>
  <c r="BP61" i="6"/>
  <c r="BJ14" i="6"/>
  <c r="BN29" i="6"/>
  <c r="BN47" i="6"/>
  <c r="BO46" i="6"/>
  <c r="BG31" i="6"/>
  <c r="BL11" i="6"/>
  <c r="BG11" i="6"/>
  <c r="BN16" i="6"/>
  <c r="BL16" i="6"/>
  <c r="BO36" i="6"/>
  <c r="BO54" i="6"/>
  <c r="BG54" i="6"/>
  <c r="BG36" i="6"/>
  <c r="BH64" i="6"/>
  <c r="BH55" i="6"/>
  <c r="BI37" i="6"/>
  <c r="BI55" i="6"/>
  <c r="BI64" i="6"/>
  <c r="BP55" i="6"/>
  <c r="BP37" i="6"/>
  <c r="BP64" i="6"/>
  <c r="BO22" i="6"/>
  <c r="BI22" i="6"/>
  <c r="BO51" i="6"/>
  <c r="BO74" i="6"/>
  <c r="BO24" i="6"/>
  <c r="BO60" i="6"/>
  <c r="BO42" i="6"/>
  <c r="BO33" i="6"/>
  <c r="BO69" i="6"/>
  <c r="BM33" i="6"/>
  <c r="BM24" i="6"/>
  <c r="BM51" i="6"/>
  <c r="BM42" i="6"/>
  <c r="BM60" i="6"/>
  <c r="BM74" i="6"/>
  <c r="BM69" i="6"/>
  <c r="BP24" i="6"/>
  <c r="BP74" i="6"/>
  <c r="BP42" i="6"/>
  <c r="BP33" i="6"/>
  <c r="BP51" i="6"/>
  <c r="BP69" i="6"/>
  <c r="BK39" i="6"/>
  <c r="BK57" i="6"/>
  <c r="BK66" i="6"/>
  <c r="BP66" i="6"/>
  <c r="BP39" i="6"/>
  <c r="BP57" i="6"/>
  <c r="BP17" i="6"/>
  <c r="BN17" i="6"/>
  <c r="BJ34" i="6"/>
  <c r="BJ52" i="6"/>
  <c r="BO34" i="6"/>
  <c r="BO52" i="6"/>
  <c r="BP52" i="6"/>
  <c r="BP34" i="6"/>
  <c r="BN18" i="6"/>
  <c r="BL18" i="6"/>
  <c r="BG18" i="6"/>
  <c r="BK20" i="6"/>
  <c r="BN20" i="6"/>
  <c r="BM15" i="6"/>
  <c r="BL15" i="6"/>
  <c r="BJ15" i="6"/>
  <c r="BN31" i="6"/>
  <c r="BN49" i="6"/>
  <c r="BK49" i="6"/>
  <c r="BK31" i="6"/>
  <c r="BM73" i="6"/>
  <c r="BM68" i="6"/>
  <c r="BM59" i="6"/>
  <c r="BM41" i="6"/>
  <c r="BH68" i="6"/>
  <c r="BH73" i="6"/>
  <c r="BH59" i="6"/>
  <c r="BN78" i="6"/>
  <c r="BN71" i="6"/>
  <c r="BN62" i="6"/>
  <c r="BN44" i="6"/>
  <c r="BN76" i="6"/>
  <c r="BH44" i="6"/>
  <c r="BH71" i="6"/>
  <c r="BH62" i="6"/>
  <c r="BH78" i="6"/>
  <c r="BH76" i="6"/>
  <c r="BO71" i="6"/>
  <c r="BO44" i="6"/>
  <c r="BO78" i="6"/>
  <c r="BO76" i="6"/>
  <c r="BO62" i="6"/>
  <c r="BH56" i="6"/>
  <c r="BH65" i="6"/>
  <c r="BH38" i="6"/>
  <c r="BP65" i="6"/>
  <c r="BP38" i="6"/>
  <c r="BP56" i="6"/>
  <c r="BM10" i="6"/>
  <c r="BL10" i="6"/>
  <c r="BK26" i="6"/>
  <c r="BP35" i="6"/>
  <c r="BP53" i="6"/>
  <c r="BN35" i="6"/>
  <c r="BN53" i="6"/>
  <c r="BK48" i="6"/>
  <c r="BK30" i="6"/>
  <c r="BH48" i="6"/>
  <c r="BI48" i="6"/>
  <c r="BI30" i="6"/>
  <c r="BK40" i="6"/>
  <c r="BK58" i="6"/>
  <c r="BK67" i="6"/>
  <c r="BL58" i="6"/>
  <c r="BL67" i="6"/>
  <c r="BL40" i="6"/>
  <c r="BP67" i="6"/>
  <c r="BP58" i="6"/>
  <c r="BP40" i="6"/>
  <c r="BJ21" i="6"/>
  <c r="BP19" i="6"/>
  <c r="BK19" i="6"/>
  <c r="BO19" i="6"/>
  <c r="BJ25" i="6"/>
  <c r="BI13" i="6"/>
  <c r="BJ13" i="6"/>
  <c r="BH13" i="6"/>
  <c r="BL61" i="6"/>
  <c r="BL70" i="6"/>
  <c r="BL75" i="6"/>
  <c r="BL43" i="6"/>
  <c r="BN70" i="6"/>
  <c r="BN75" i="6"/>
  <c r="BN43" i="6"/>
  <c r="BN61" i="6"/>
  <c r="BK12" i="6"/>
  <c r="BM12" i="6"/>
  <c r="BH12" i="6"/>
  <c r="BG14" i="6"/>
  <c r="BH14" i="6"/>
  <c r="BH47" i="6"/>
  <c r="BO47" i="6"/>
  <c r="BO29" i="6"/>
  <c r="BL47" i="6"/>
  <c r="BO67" i="6"/>
  <c r="BO63" i="6"/>
  <c r="BO80" i="6"/>
  <c r="BO77" i="6"/>
  <c r="BO45" i="6"/>
  <c r="BO72" i="6"/>
  <c r="BO79" i="6"/>
  <c r="BK79" i="6"/>
  <c r="BK63" i="6"/>
  <c r="BK45" i="6"/>
  <c r="BK72" i="6"/>
  <c r="BK80" i="6"/>
  <c r="BK77" i="6"/>
  <c r="BM27" i="6"/>
  <c r="BO27" i="6"/>
  <c r="BP28" i="6"/>
  <c r="BP46" i="6"/>
  <c r="BL46" i="6"/>
  <c r="BP54" i="6"/>
  <c r="BP36" i="6"/>
  <c r="BM55" i="6"/>
  <c r="BM37" i="6"/>
  <c r="BM64" i="6"/>
  <c r="BL56" i="6"/>
  <c r="BL69" i="6"/>
  <c r="BL60" i="6"/>
  <c r="BL74" i="6"/>
  <c r="BL51" i="6"/>
  <c r="BL42" i="6"/>
  <c r="BL33" i="6"/>
  <c r="BO66" i="6"/>
  <c r="BO57" i="6"/>
  <c r="BO39" i="6"/>
  <c r="BN34" i="6"/>
  <c r="BN52" i="6"/>
  <c r="BP31" i="6"/>
  <c r="BP49" i="6"/>
  <c r="BO68" i="6"/>
  <c r="BO59" i="6"/>
  <c r="BO73" i="6"/>
  <c r="BO41" i="6"/>
  <c r="BG65" i="6"/>
  <c r="BG56" i="6"/>
  <c r="BH23" i="6"/>
  <c r="BK35" i="6"/>
  <c r="BK53" i="6"/>
  <c r="BG30" i="6"/>
  <c r="BG48" i="6"/>
  <c r="BM40" i="6"/>
  <c r="BM67" i="6"/>
  <c r="BM58" i="6"/>
  <c r="BH19" i="6"/>
  <c r="BL24" i="6"/>
  <c r="BG13" i="6"/>
  <c r="BM61" i="6"/>
  <c r="BM43" i="6"/>
  <c r="BM75" i="6"/>
  <c r="BM70" i="6"/>
  <c r="BP12" i="6"/>
  <c r="BJ47" i="6"/>
  <c r="BG79" i="6"/>
  <c r="BG80" i="6"/>
  <c r="BG77" i="6"/>
  <c r="BG45" i="6"/>
  <c r="BG63" i="6"/>
  <c r="BG72" i="6"/>
  <c r="BM28" i="6"/>
  <c r="BM46" i="6"/>
  <c r="BP21" i="6"/>
  <c r="BI11" i="6"/>
  <c r="BN11" i="6"/>
  <c r="BJ11" i="6"/>
  <c r="BJ16" i="6"/>
  <c r="BK36" i="6"/>
  <c r="BK54" i="6"/>
  <c r="BJ36" i="6"/>
  <c r="BJ54" i="6"/>
  <c r="BL55" i="6"/>
  <c r="BL64" i="6"/>
  <c r="BL37" i="6"/>
  <c r="BO28" i="6"/>
  <c r="BO64" i="6"/>
  <c r="BO55" i="6"/>
  <c r="BO37" i="6"/>
  <c r="BK37" i="6"/>
  <c r="BK64" i="6"/>
  <c r="BK55" i="6"/>
  <c r="BM22" i="6"/>
  <c r="BL20" i="6"/>
  <c r="BL22" i="6"/>
  <c r="BJ74" i="6"/>
  <c r="BJ33" i="6"/>
  <c r="BJ69" i="6"/>
  <c r="BJ60" i="6"/>
  <c r="BJ51" i="6"/>
  <c r="BJ42" i="6"/>
  <c r="BJ24" i="6"/>
  <c r="BK69" i="6"/>
  <c r="BK33" i="6"/>
  <c r="BK60" i="6"/>
  <c r="BK42" i="6"/>
  <c r="BK74" i="6"/>
  <c r="BK51" i="6"/>
  <c r="BI24" i="6"/>
  <c r="BI74" i="6"/>
  <c r="BI60" i="6"/>
  <c r="BI42" i="6"/>
  <c r="BI69" i="6"/>
  <c r="BI51" i="6"/>
  <c r="BN57" i="6"/>
  <c r="BN66" i="6"/>
  <c r="BN39" i="6"/>
  <c r="BJ66" i="6"/>
  <c r="BJ57" i="6"/>
  <c r="BJ39" i="6"/>
  <c r="BK17" i="6"/>
  <c r="BG52" i="6"/>
  <c r="BG34" i="6"/>
  <c r="BM52" i="6"/>
  <c r="BM34" i="6"/>
  <c r="BI34" i="6"/>
  <c r="BI52" i="6"/>
  <c r="BI18" i="6"/>
  <c r="BK18" i="6"/>
  <c r="BM18" i="6"/>
  <c r="BP20" i="6"/>
  <c r="BP13" i="6"/>
  <c r="BK15" i="6"/>
  <c r="BG49" i="6"/>
  <c r="BL73" i="6"/>
  <c r="BL41" i="6"/>
  <c r="BL59" i="6"/>
  <c r="BL68" i="6"/>
  <c r="BK68" i="6"/>
  <c r="BK59" i="6"/>
  <c r="BK41" i="6"/>
  <c r="BK73" i="6"/>
  <c r="BK44" i="6"/>
  <c r="BK71" i="6"/>
  <c r="BK78" i="6"/>
  <c r="BK76" i="6"/>
  <c r="BK62" i="6"/>
  <c r="BP60" i="6"/>
  <c r="BP62" i="6"/>
  <c r="BP76" i="6"/>
  <c r="BP71" i="6"/>
  <c r="BP44" i="6"/>
  <c r="BP78" i="6"/>
  <c r="BL44" i="6"/>
  <c r="BL71" i="6"/>
  <c r="BL76" i="6"/>
  <c r="BL62" i="6"/>
  <c r="BL78" i="6"/>
  <c r="BM38" i="6"/>
  <c r="BM65" i="6"/>
  <c r="BM56" i="6"/>
  <c r="BK56" i="6"/>
  <c r="BK38" i="6"/>
  <c r="BK65" i="6"/>
  <c r="BI10" i="6"/>
  <c r="BN19" i="6"/>
  <c r="BG23" i="6"/>
  <c r="BN26" i="6"/>
  <c r="BI26" i="6"/>
  <c r="BJ53" i="6"/>
  <c r="BJ35" i="6"/>
  <c r="BO53" i="6"/>
  <c r="BO35" i="6"/>
  <c r="BJ48" i="6"/>
  <c r="BN30" i="6"/>
  <c r="BN48" i="6"/>
  <c r="BM48" i="6"/>
  <c r="BH67" i="6"/>
  <c r="BH58" i="6"/>
  <c r="BH40" i="6"/>
  <c r="BG58" i="6"/>
  <c r="BG67" i="6"/>
  <c r="BG40" i="6"/>
  <c r="BI40" i="6"/>
  <c r="BI58" i="6"/>
  <c r="BI67" i="6"/>
  <c r="BM21" i="6"/>
  <c r="BH21" i="6"/>
  <c r="BL19" i="6"/>
  <c r="BI19" i="6"/>
  <c r="BJ19" i="6"/>
  <c r="BP25" i="6"/>
  <c r="BN13" i="6"/>
  <c r="BO13" i="6"/>
  <c r="BO75" i="6"/>
  <c r="BO43" i="6"/>
  <c r="BO61" i="6"/>
  <c r="BO70" i="6"/>
  <c r="BI75" i="6"/>
  <c r="BI61" i="6"/>
  <c r="BI70" i="6"/>
  <c r="BI43" i="6"/>
  <c r="BH75" i="6"/>
  <c r="BH61" i="6"/>
  <c r="BH70" i="6"/>
  <c r="BH43" i="6"/>
  <c r="BJ12" i="6"/>
  <c r="BN14" i="6"/>
  <c r="BM14" i="6"/>
  <c r="BL14" i="6"/>
  <c r="BM29" i="6"/>
  <c r="BM47" i="6"/>
  <c r="BK47" i="6"/>
  <c r="BK29" i="6"/>
  <c r="BJ72" i="6"/>
  <c r="BJ80" i="6"/>
  <c r="BJ77" i="6"/>
  <c r="BJ79" i="6"/>
  <c r="BJ63" i="6"/>
  <c r="BJ45" i="6"/>
  <c r="BL80" i="6"/>
  <c r="BL72" i="6"/>
  <c r="BL45" i="6"/>
  <c r="BL63" i="6"/>
  <c r="BL77" i="6"/>
  <c r="BL79" i="6"/>
  <c r="BH63" i="6"/>
  <c r="BH45" i="6"/>
  <c r="BH77" i="6"/>
  <c r="BH79" i="6"/>
  <c r="BH72" i="6"/>
  <c r="BH80" i="6"/>
  <c r="BK27" i="6"/>
  <c r="BN27" i="6"/>
  <c r="BJ27" i="6"/>
  <c r="BK46" i="6"/>
  <c r="BI46" i="6"/>
  <c r="BH46" i="6"/>
  <c r="BN33" i="6"/>
  <c r="BK24" i="6"/>
  <c r="BK25" i="6"/>
  <c r="BJ26" i="6"/>
  <c r="BJ23" i="6"/>
  <c r="BH28" i="6"/>
  <c r="BH29" i="6"/>
  <c r="BH30" i="6"/>
  <c r="BI28" i="6"/>
  <c r="BI23" i="6"/>
  <c r="BI27" i="6"/>
  <c r="BH50" i="6"/>
  <c r="BH41" i="6"/>
  <c r="BH37" i="6"/>
  <c r="BH32" i="6"/>
  <c r="BH34" i="6"/>
  <c r="BH35" i="6"/>
  <c r="BM50" i="6"/>
  <c r="BM32" i="6"/>
  <c r="BM23" i="6"/>
  <c r="BM25" i="6"/>
  <c r="BM26" i="6"/>
  <c r="BG32" i="6"/>
  <c r="BG38" i="6"/>
  <c r="BG41" i="6"/>
  <c r="BG50" i="6"/>
  <c r="BG39" i="6"/>
  <c r="BG37" i="6"/>
  <c r="BJ50" i="6"/>
  <c r="BJ32" i="6"/>
  <c r="BJ28" i="6"/>
  <c r="BJ30" i="6"/>
  <c r="BJ29" i="6"/>
  <c r="BO23" i="6"/>
  <c r="BO50" i="6"/>
  <c r="BO32" i="6"/>
  <c r="BN23" i="6"/>
  <c r="BN32" i="6"/>
  <c r="BN24" i="6"/>
  <c r="BN50" i="6"/>
  <c r="BN25" i="6"/>
  <c r="BK23" i="6"/>
  <c r="BK32" i="6"/>
  <c r="BK50" i="6"/>
  <c r="BK28" i="6"/>
  <c r="BP32" i="6"/>
  <c r="BP23" i="6"/>
  <c r="BP50" i="6"/>
  <c r="BI50" i="6"/>
  <c r="BI32" i="6"/>
  <c r="BI31" i="6"/>
  <c r="BL23" i="6"/>
  <c r="BL27" i="6"/>
  <c r="BL26" i="6"/>
  <c r="BL50" i="6"/>
  <c r="BL28" i="6"/>
  <c r="BL32" i="6"/>
</calcChain>
</file>

<file path=xl/comments1.xml><?xml version="1.0" encoding="utf-8"?>
<comments xmlns="http://schemas.openxmlformats.org/spreadsheetml/2006/main">
  <authors>
    <author>Registered User</author>
    <author>Martin de Groot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 xml:space="preserve">This is the main input sheet. Don't try to copy values or move them as this will upset the remainder of the spreadsheets. </t>
        </r>
      </text>
    </comment>
    <comment ref="F1" authorId="1" shapeId="0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Registered User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Per Building the excdeenace frequency per year for a each pressure level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Registered User</author>
  </authors>
  <commentList>
    <comment ref="A1" authorId="0" shapeId="0">
      <text>
        <r>
          <rPr>
            <sz val="8"/>
            <color indexed="81"/>
            <rFont val="Tahoma"/>
            <family val="2"/>
          </rPr>
          <t xml:space="preserve">This sheets calculates and displays the IR/yr contribution to the occupants of each building from each of the congested areas
</t>
        </r>
      </text>
    </comment>
  </commentList>
</comments>
</file>

<file path=xl/comments4.xml><?xml version="1.0" encoding="utf-8"?>
<comments xmlns="http://schemas.openxmlformats.org/spreadsheetml/2006/main">
  <authors>
    <author>Registered User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The IR is calculted here by multiplying the overpressure frequency, which is the difference between the two exceedance values, with the vulnerablity based on the overpressure and the occupancy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" authorId="0" shapeId="0">
      <text>
        <r>
          <rPr>
            <b/>
            <sz val="8"/>
            <color indexed="81"/>
            <rFont val="Tahoma"/>
            <family val="2"/>
          </rPr>
          <t>parameter A based on API-572 typicifcation in the formula 
Vul = A*exp(B/mbar)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" authorId="0" shapeId="0">
      <text>
        <r>
          <rPr>
            <b/>
            <sz val="8"/>
            <color indexed="81"/>
            <rFont val="Tahoma"/>
            <family val="2"/>
          </rPr>
          <t>Total IR from each pressure level contribution. 
Sum b7-b77.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7" authorId="0" shapeId="0">
      <text>
        <r>
          <rPr>
            <b/>
            <sz val="8"/>
            <color indexed="81"/>
            <rFont val="Tahoma"/>
            <family val="2"/>
          </rPr>
          <t>Overpressure in mbar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7" authorId="0" shapeId="0">
      <text>
        <r>
          <rPr>
            <b/>
            <sz val="8"/>
            <color indexed="81"/>
            <rFont val="Tahoma"/>
            <family val="2"/>
          </rPr>
          <t>IR contribution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<sst xmlns="http://schemas.openxmlformats.org/spreadsheetml/2006/main" count="93" uniqueCount="76">
  <si>
    <t>L</t>
  </si>
  <si>
    <t>W</t>
  </si>
  <si>
    <t>H</t>
  </si>
  <si>
    <t>Type building</t>
  </si>
  <si>
    <t>B4</t>
  </si>
  <si>
    <t>B1</t>
  </si>
  <si>
    <t>B3</t>
  </si>
  <si>
    <t>type</t>
  </si>
  <si>
    <t>par A</t>
  </si>
  <si>
    <t>par B</t>
  </si>
  <si>
    <t>IR</t>
  </si>
  <si>
    <t>Freq</t>
  </si>
  <si>
    <t>Name</t>
  </si>
  <si>
    <t>Length</t>
  </si>
  <si>
    <t>Width</t>
  </si>
  <si>
    <t>Height</t>
  </si>
  <si>
    <t>Max source P</t>
  </si>
  <si>
    <t>m</t>
  </si>
  <si>
    <t>mbar</t>
  </si>
  <si>
    <t>Explosion freq</t>
  </si>
  <si>
    <t>yr</t>
  </si>
  <si>
    <t>Ro</t>
  </si>
  <si>
    <t xml:space="preserve">Overpressure at </t>
  </si>
  <si>
    <t>Exceedance</t>
  </si>
  <si>
    <t>Source p</t>
  </si>
  <si>
    <t>exceed</t>
  </si>
  <si>
    <t>ccu1</t>
  </si>
  <si>
    <t>cd41</t>
  </si>
  <si>
    <t>cd42</t>
  </si>
  <si>
    <t>cd31</t>
  </si>
  <si>
    <t>gsu1</t>
  </si>
  <si>
    <t>gsu2</t>
  </si>
  <si>
    <t>gsu3</t>
  </si>
  <si>
    <t>ebu1</t>
  </si>
  <si>
    <t>hvi1</t>
  </si>
  <si>
    <t>hvi2</t>
  </si>
  <si>
    <t>Leak freq</t>
  </si>
  <si>
    <t>B2</t>
  </si>
  <si>
    <t>IR/yr based on 24 hours occupancy</t>
  </si>
  <si>
    <t>Fuel</t>
  </si>
  <si>
    <t>C3</t>
  </si>
  <si>
    <t>C1</t>
  </si>
  <si>
    <t>Fuel factor:</t>
  </si>
  <si>
    <t>Complexity factor</t>
  </si>
  <si>
    <t>E</t>
  </si>
  <si>
    <t>Distance</t>
  </si>
  <si>
    <t>Number</t>
  </si>
  <si>
    <t>Average</t>
  </si>
  <si>
    <t>m.</t>
  </si>
  <si>
    <t>of grids</t>
  </si>
  <si>
    <t>blockage ratio</t>
  </si>
  <si>
    <t>Full length</t>
  </si>
  <si>
    <t>Full width</t>
  </si>
  <si>
    <t>S</t>
  </si>
  <si>
    <t>P</t>
  </si>
  <si>
    <t>bar</t>
  </si>
  <si>
    <t>P max mbar</t>
  </si>
  <si>
    <t>Leak frequency per year</t>
  </si>
  <si>
    <t>Heght meter</t>
  </si>
  <si>
    <t>Width meter</t>
  </si>
  <si>
    <t>Length meter</t>
  </si>
  <si>
    <t>HDS1</t>
  </si>
  <si>
    <t>HDS2</t>
  </si>
  <si>
    <t>HDS3</t>
  </si>
  <si>
    <t>HDS4</t>
  </si>
  <si>
    <t>HDS5</t>
  </si>
  <si>
    <t>HDS6</t>
  </si>
  <si>
    <t>HDS8</t>
  </si>
  <si>
    <t>HDS9</t>
  </si>
  <si>
    <t>HDS10</t>
  </si>
  <si>
    <t>Blockage</t>
  </si>
  <si>
    <t>Severe</t>
  </si>
  <si>
    <t xml:space="preserve">High </t>
  </si>
  <si>
    <t>Low</t>
  </si>
  <si>
    <t>Medium</t>
  </si>
  <si>
    <t>HD71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</si>
</sst>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E+00"/>
  </numFmts>
  <fonts count="9" x14ac:knownFonts="1">
    <font>
      <sz val="8"/>
      <name val="Arial"/>
    </font>
    <font>
      <sz val="8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sz val="8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1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11" fontId="0" fillId="2" borderId="0" xfId="0" applyNumberFormat="1" applyFill="1" applyAlignment="1">
      <alignment horizontal="center"/>
    </xf>
    <xf numFmtId="1" fontId="2" fillId="0" borderId="0" xfId="0" applyNumberFormat="1" applyFont="1" applyBorder="1"/>
    <xf numFmtId="1" fontId="2" fillId="0" borderId="0" xfId="0" applyNumberFormat="1" applyFont="1" applyAlignment="1">
      <alignment horizontal="center"/>
    </xf>
    <xf numFmtId="0" fontId="0" fillId="0" borderId="0" xfId="0" applyAlignment="1">
      <alignment horizontal="center" textRotation="90"/>
    </xf>
    <xf numFmtId="1" fontId="0" fillId="3" borderId="0" xfId="0" applyNumberFormat="1" applyFill="1" applyAlignment="1">
      <alignment horizontal="center"/>
    </xf>
    <xf numFmtId="1" fontId="0" fillId="0" borderId="0" xfId="0" applyNumberFormat="1" applyAlignment="1">
      <alignment horizontal="center" textRotation="90"/>
    </xf>
    <xf numFmtId="11" fontId="0" fillId="3" borderId="0" xfId="0" applyNumberFormat="1" applyFill="1"/>
    <xf numFmtId="0" fontId="0" fillId="3" borderId="0" xfId="0" applyFill="1"/>
    <xf numFmtId="11" fontId="0" fillId="3" borderId="0" xfId="0" applyNumberFormat="1" applyFill="1" applyAlignment="1">
      <alignment horizontal="center"/>
    </xf>
    <xf numFmtId="11" fontId="0" fillId="0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left" textRotation="90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 textRotation="1"/>
    </xf>
    <xf numFmtId="0" fontId="0" fillId="0" borderId="0" xfId="0" applyAlignment="1">
      <alignment horizontal="left"/>
    </xf>
    <xf numFmtId="1" fontId="0" fillId="0" borderId="0" xfId="0" applyNumberFormat="1" applyBorder="1" applyAlignment="1">
      <alignment horizontal="center" wrapText="1"/>
    </xf>
    <xf numFmtId="1" fontId="0" fillId="4" borderId="0" xfId="0" applyNumberFormat="1" applyFill="1" applyBorder="1" applyAlignment="1">
      <alignment horizontal="center"/>
    </xf>
    <xf numFmtId="1" fontId="2" fillId="0" borderId="1" xfId="0" applyNumberFormat="1" applyFont="1" applyBorder="1" applyAlignment="1">
      <alignment horizontal="center" textRotation="90" wrapText="1"/>
    </xf>
    <xf numFmtId="1" fontId="0" fillId="0" borderId="1" xfId="0" applyNumberFormat="1" applyBorder="1" applyAlignment="1">
      <alignment horizontal="center" vertical="center" wrapText="1"/>
    </xf>
    <xf numFmtId="1" fontId="0" fillId="4" borderId="1" xfId="0" applyNumberFormat="1" applyFill="1" applyBorder="1" applyAlignment="1">
      <alignment horizontal="center" vertical="center" wrapText="1"/>
    </xf>
    <xf numFmtId="0" fontId="0" fillId="0" borderId="1" xfId="0" applyBorder="1"/>
    <xf numFmtId="1" fontId="0" fillId="4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1" fontId="1" fillId="0" borderId="1" xfId="0" applyNumberFormat="1" applyFont="1" applyBorder="1"/>
    <xf numFmtId="2" fontId="0" fillId="0" borderId="1" xfId="0" applyNumberFormat="1" applyBorder="1" applyAlignment="1">
      <alignment horizontal="center"/>
    </xf>
    <xf numFmtId="11" fontId="0" fillId="0" borderId="1" xfId="0" applyNumberFormat="1" applyBorder="1" applyAlignment="1">
      <alignment horizontal="center"/>
    </xf>
    <xf numFmtId="11" fontId="0" fillId="0" borderId="1" xfId="0" applyNumberFormat="1" applyBorder="1" applyAlignment="1">
      <alignment horizontal="left"/>
    </xf>
    <xf numFmtId="1" fontId="1" fillId="0" borderId="1" xfId="0" applyNumberFormat="1" applyFont="1" applyBorder="1" applyAlignment="1">
      <alignment horizontal="center" wrapText="1"/>
    </xf>
    <xf numFmtId="1" fontId="1" fillId="0" borderId="1" xfId="0" applyNumberFormat="1" applyFont="1" applyBorder="1" applyAlignment="1">
      <alignment horizontal="left" vertical="center" wrapText="1"/>
    </xf>
    <xf numFmtId="1" fontId="1" fillId="0" borderId="1" xfId="0" applyNumberFormat="1" applyFont="1" applyBorder="1" applyAlignment="1">
      <alignment horizontal="right" vertical="center" wrapText="1"/>
    </xf>
    <xf numFmtId="1" fontId="0" fillId="0" borderId="1" xfId="0" applyNumberFormat="1" applyBorder="1" applyAlignment="1">
      <alignment horizontal="center" textRotation="90" wrapText="1"/>
    </xf>
    <xf numFmtId="0" fontId="0" fillId="0" borderId="1" xfId="0" applyFill="1" applyBorder="1"/>
    <xf numFmtId="0" fontId="1" fillId="0" borderId="1" xfId="0" applyFon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1" fontId="1" fillId="0" borderId="1" xfId="0" applyNumberFormat="1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1" xfId="0" applyFill="1" applyBorder="1" applyProtection="1">
      <protection locked="0"/>
    </xf>
    <xf numFmtId="0" fontId="5" fillId="0" borderId="1" xfId="0" applyFont="1" applyFill="1" applyBorder="1"/>
    <xf numFmtId="1" fontId="0" fillId="0" borderId="1" xfId="0" applyNumberFormat="1" applyFill="1" applyBorder="1" applyAlignment="1">
      <alignment horizontal="center"/>
    </xf>
    <xf numFmtId="1" fontId="0" fillId="0" borderId="1" xfId="0" applyNumberFormat="1" applyFill="1" applyBorder="1" applyAlignment="1">
      <alignment horizontal="left"/>
    </xf>
    <xf numFmtId="1" fontId="6" fillId="0" borderId="1" xfId="0" applyNumberFormat="1" applyFont="1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165" fontId="1" fillId="0" borderId="1" xfId="0" applyNumberFormat="1" applyFont="1" applyBorder="1" applyAlignment="1" applyProtection="1">
      <alignment horizontal="center" wrapText="1"/>
    </xf>
    <xf numFmtId="1" fontId="1" fillId="0" borderId="1" xfId="0" applyNumberFormat="1" applyFont="1" applyBorder="1" applyAlignment="1">
      <alignment horizontal="center" textRotation="90" wrapText="1"/>
    </xf>
    <xf numFmtId="1" fontId="0" fillId="0" borderId="0" xfId="0" applyNumberFormat="1" applyAlignment="1">
      <alignment horizontal="center" vertical="center" wrapText="1"/>
    </xf>
    <xf numFmtId="1" fontId="2" fillId="0" borderId="0" xfId="0" applyNumberFormat="1" applyFont="1" applyBorder="1" applyAlignment="1">
      <alignment horizontal="center" textRotation="90" wrapText="1"/>
    </xf>
    <xf numFmtId="1" fontId="1" fillId="0" borderId="0" xfId="0" applyNumberFormat="1" applyFont="1" applyBorder="1" applyAlignment="1">
      <alignment horizontal="center" textRotation="90" wrapText="1"/>
    </xf>
    <xf numFmtId="0" fontId="0" fillId="0" borderId="0" xfId="0" applyBorder="1" applyAlignment="1">
      <alignment horizontal="center" textRotation="90"/>
    </xf>
    <xf numFmtId="1" fontId="0" fillId="0" borderId="0" xfId="0" applyNumberFormat="1" applyBorder="1" applyAlignment="1">
      <alignment horizontal="center" textRotation="90" wrapText="1"/>
    </xf>
    <xf numFmtId="1" fontId="8" fillId="0" borderId="0" xfId="0" applyNumberFormat="1" applyFont="1" applyBorder="1" applyAlignment="1">
      <alignment horizontal="center" wrapText="1"/>
    </xf>
    <xf numFmtId="0" fontId="0" fillId="0" borderId="0" xfId="0" applyBorder="1"/>
    <xf numFmtId="1" fontId="2" fillId="0" borderId="0" xfId="0" applyNumberFormat="1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center" vertical="center" wrapText="1"/>
    </xf>
    <xf numFmtId="1" fontId="1" fillId="0" borderId="0" xfId="0" applyNumberFormat="1" applyFont="1" applyBorder="1" applyAlignment="1">
      <alignment horizontal="center" wrapText="1"/>
    </xf>
    <xf numFmtId="1" fontId="8" fillId="0" borderId="0" xfId="0" applyNumberFormat="1" applyFont="1" applyBorder="1"/>
    <xf numFmtId="1" fontId="8" fillId="0" borderId="0" xfId="0" applyNumberFormat="1" applyFont="1" applyBorder="1" applyAlignment="1">
      <alignment horizontal="center" vertical="center" wrapText="1"/>
    </xf>
    <xf numFmtId="1" fontId="8" fillId="0" borderId="0" xfId="0" applyNumberFormat="1" applyFont="1" applyBorder="1" applyAlignment="1">
      <alignment horizontal="center"/>
    </xf>
    <xf numFmtId="11" fontId="8" fillId="0" borderId="0" xfId="0" applyNumberFormat="1" applyFont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2" fillId="0" borderId="0" xfId="0" applyNumberFormat="1" applyFon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1" fontId="0" fillId="0" borderId="0" xfId="0" applyNumberFormat="1" applyBorder="1"/>
    <xf numFmtId="1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center"/>
    </xf>
    <xf numFmtId="2" fontId="1" fillId="0" borderId="1" xfId="0" applyNumberFormat="1" applyFont="1" applyBorder="1" applyAlignment="1">
      <alignment horizontal="center" textRotation="90" wrapText="1"/>
    </xf>
    <xf numFmtId="1" fontId="1" fillId="4" borderId="1" xfId="0" applyNumberFormat="1" applyFont="1" applyFill="1" applyBorder="1" applyAlignment="1">
      <alignment horizontal="center" textRotation="90" wrapText="1"/>
    </xf>
    <xf numFmtId="1" fontId="1" fillId="0" borderId="1" xfId="0" applyNumberFormat="1" applyFont="1" applyBorder="1" applyAlignment="1">
      <alignment horizontal="center" vertical="center" wrapText="1"/>
    </xf>
    <xf numFmtId="1" fontId="2" fillId="0" borderId="1" xfId="0" applyNumberFormat="1" applyFont="1" applyBorder="1" applyAlignment="1">
      <alignment horizontal="right" vertical="center"/>
    </xf>
    <xf numFmtId="11" fontId="0" fillId="0" borderId="0" xfId="0" applyNumberFormat="1" applyAlignment="1">
      <alignment horizontal="center" vertical="center" textRotation="90" wrapText="1"/>
    </xf>
    <xf numFmtId="11" fontId="0" fillId="0" borderId="0" xfId="0" applyNumberFormat="1" applyAlignment="1">
      <alignment horizontal="center" textRotation="90"/>
    </xf>
    <xf numFmtId="11" fontId="2" fillId="0" borderId="0" xfId="0" applyNumberFormat="1" applyFont="1" applyBorder="1"/>
    <xf numFmtId="11" fontId="2" fillId="0" borderId="0" xfId="0" applyNumberFormat="1" applyFont="1" applyAlignment="1">
      <alignment horizontal="left"/>
    </xf>
    <xf numFmtId="11" fontId="2" fillId="0" borderId="0" xfId="0" applyNumberFormat="1" applyFont="1" applyAlignment="1">
      <alignment horizontal="center"/>
    </xf>
    <xf numFmtId="1" fontId="8" fillId="0" borderId="1" xfId="0" applyNumberFormat="1" applyFont="1" applyBorder="1" applyAlignment="1" applyProtection="1">
      <alignment horizontal="center" textRotation="90" wrapText="1"/>
      <protection locked="0"/>
    </xf>
    <xf numFmtId="1" fontId="8" fillId="0" borderId="1" xfId="0" applyNumberFormat="1" applyFont="1" applyBorder="1" applyAlignment="1" applyProtection="1">
      <alignment horizontal="center" wrapText="1"/>
      <protection locked="0"/>
    </xf>
    <xf numFmtId="1" fontId="8" fillId="0" borderId="1" xfId="0" applyNumberFormat="1" applyFont="1" applyBorder="1" applyProtection="1">
      <protection locked="0"/>
    </xf>
    <xf numFmtId="1" fontId="8" fillId="0" borderId="1" xfId="0" applyNumberFormat="1" applyFont="1" applyBorder="1" applyAlignment="1" applyProtection="1">
      <alignment horizontal="center" vertical="center" wrapText="1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1" fontId="8" fillId="0" borderId="1" xfId="0" applyNumberFormat="1" applyFont="1" applyBorder="1" applyAlignment="1" applyProtection="1">
      <alignment horizontal="center" vertical="center" wrapText="1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1" fontId="1" fillId="0" borderId="1" xfId="0" applyNumberFormat="1" applyFont="1" applyFill="1" applyBorder="1" applyAlignment="1" applyProtection="1">
      <alignment horizontal="center"/>
    </xf>
    <xf numFmtId="1" fontId="0" fillId="0" borderId="1" xfId="0" applyNumberFormat="1" applyBorder="1" applyAlignment="1" applyProtection="1">
      <alignment horizontal="right" textRotation="90"/>
    </xf>
    <xf numFmtId="1" fontId="0" fillId="0" borderId="1" xfId="0" applyNumberFormat="1" applyBorder="1" applyAlignment="1" applyProtection="1">
      <alignment horizontal="right" vertical="center"/>
    </xf>
    <xf numFmtId="1" fontId="1" fillId="0" borderId="1" xfId="0" applyNumberFormat="1" applyFont="1" applyBorder="1" applyAlignment="1" applyProtection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319225721784776"/>
          <c:y val="8.6242905534244116E-2"/>
          <c:w val="0.80422531798909747"/>
          <c:h val="0.8295057989546179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'Exceedance results'!$B$1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  <c:pt idx="25">
                  <c:v>420</c:v>
                </c:pt>
                <c:pt idx="26">
                  <c:v>440</c:v>
                </c:pt>
                <c:pt idx="27">
                  <c:v>460</c:v>
                </c:pt>
                <c:pt idx="28">
                  <c:v>480</c:v>
                </c:pt>
                <c:pt idx="29">
                  <c:v>500</c:v>
                </c:pt>
                <c:pt idx="30">
                  <c:v>550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results'!$B$2:$B$41</c:f>
              <c:numCache>
                <c:formatCode>0.00E+00</c:formatCode>
                <c:ptCount val="40"/>
                <c:pt idx="0">
                  <c:v>7.6186124415912138E-4</c:v>
                </c:pt>
                <c:pt idx="1">
                  <c:v>5.7881557108559905E-4</c:v>
                </c:pt>
                <c:pt idx="2">
                  <c:v>4.5813507690978163E-4</c:v>
                </c:pt>
                <c:pt idx="3">
                  <c:v>3.8233268534613963E-4</c:v>
                </c:pt>
                <c:pt idx="4">
                  <c:v>3.1833441798967659E-4</c:v>
                </c:pt>
                <c:pt idx="5">
                  <c:v>2.745037281506517E-4</c:v>
                </c:pt>
                <c:pt idx="6">
                  <c:v>2.4484118028180097E-4</c:v>
                </c:pt>
                <c:pt idx="7">
                  <c:v>2.152384598237556E-4</c:v>
                </c:pt>
                <c:pt idx="8">
                  <c:v>1.9241749150357846E-4</c:v>
                </c:pt>
                <c:pt idx="9">
                  <c:v>1.7367065480691812E-4</c:v>
                </c:pt>
                <c:pt idx="10">
                  <c:v>1.3902996394433891E-4</c:v>
                </c:pt>
                <c:pt idx="11">
                  <c:v>1.1152140980029031E-4</c:v>
                </c:pt>
                <c:pt idx="12">
                  <c:v>8.8225367499610743E-5</c:v>
                </c:pt>
                <c:pt idx="13">
                  <c:v>7.4822713743743385E-5</c:v>
                </c:pt>
                <c:pt idx="14">
                  <c:v>6.2739492246706406E-5</c:v>
                </c:pt>
                <c:pt idx="15">
                  <c:v>4.6236047022885378E-5</c:v>
                </c:pt>
                <c:pt idx="16">
                  <c:v>3.2474987151303667E-5</c:v>
                </c:pt>
                <c:pt idx="17">
                  <c:v>2.2962162925791292E-5</c:v>
                </c:pt>
                <c:pt idx="18">
                  <c:v>1.5658167118663798E-5</c:v>
                </c:pt>
                <c:pt idx="19">
                  <c:v>1.2050089875960876E-5</c:v>
                </c:pt>
                <c:pt idx="20">
                  <c:v>8.4001379633529824E-6</c:v>
                </c:pt>
                <c:pt idx="21">
                  <c:v>5.7341214327319869E-6</c:v>
                </c:pt>
                <c:pt idx="22">
                  <c:v>3.9730623666907132E-6</c:v>
                </c:pt>
                <c:pt idx="23">
                  <c:v>2.7951304815349933E-6</c:v>
                </c:pt>
                <c:pt idx="24">
                  <c:v>1.9785492771517702E-6</c:v>
                </c:pt>
                <c:pt idx="25">
                  <c:v>1.4840042474264353E-6</c:v>
                </c:pt>
                <c:pt idx="26">
                  <c:v>8.1583852089529324E-7</c:v>
                </c:pt>
                <c:pt idx="27">
                  <c:v>5.4627852693280328E-7</c:v>
                </c:pt>
                <c:pt idx="28">
                  <c:v>4.06890561692486E-7</c:v>
                </c:pt>
                <c:pt idx="29">
                  <c:v>3.6087173978975672E-7</c:v>
                </c:pt>
                <c:pt idx="30">
                  <c:v>6.0998954100890764E-8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'Exceedance results'!$C$1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  <c:pt idx="25">
                  <c:v>420</c:v>
                </c:pt>
                <c:pt idx="26">
                  <c:v>440</c:v>
                </c:pt>
                <c:pt idx="27">
                  <c:v>460</c:v>
                </c:pt>
                <c:pt idx="28">
                  <c:v>480</c:v>
                </c:pt>
                <c:pt idx="29">
                  <c:v>500</c:v>
                </c:pt>
                <c:pt idx="30">
                  <c:v>550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results'!$C$2:$C$41</c:f>
              <c:numCache>
                <c:formatCode>0.00E+00</c:formatCode>
                <c:ptCount val="40"/>
                <c:pt idx="0">
                  <c:v>7.3869386775834718E-4</c:v>
                </c:pt>
                <c:pt idx="1">
                  <c:v>5.5055930771850633E-4</c:v>
                </c:pt>
                <c:pt idx="2">
                  <c:v>4.2713975698764823E-4</c:v>
                </c:pt>
                <c:pt idx="3">
                  <c:v>3.5400354310423593E-4</c:v>
                </c:pt>
                <c:pt idx="4">
                  <c:v>2.9637419211978462E-4</c:v>
                </c:pt>
                <c:pt idx="5">
                  <c:v>2.5325302447934281E-4</c:v>
                </c:pt>
                <c:pt idx="6">
                  <c:v>2.2286454067926972E-4</c:v>
                </c:pt>
                <c:pt idx="7">
                  <c:v>1.9772625304922693E-4</c:v>
                </c:pt>
                <c:pt idx="8">
                  <c:v>1.7391823000043822E-4</c:v>
                </c:pt>
                <c:pt idx="9">
                  <c:v>1.5466435017609249E-4</c:v>
                </c:pt>
                <c:pt idx="10">
                  <c:v>1.1801265048538478E-4</c:v>
                </c:pt>
                <c:pt idx="11">
                  <c:v>9.192335815906448E-5</c:v>
                </c:pt>
                <c:pt idx="12">
                  <c:v>7.5321187217625103E-5</c:v>
                </c:pt>
                <c:pt idx="13">
                  <c:v>5.6571713418874619E-5</c:v>
                </c:pt>
                <c:pt idx="14">
                  <c:v>3.7078598316218652E-5</c:v>
                </c:pt>
                <c:pt idx="15">
                  <c:v>2.5448569901698933E-5</c:v>
                </c:pt>
                <c:pt idx="16">
                  <c:v>1.6186308108791448E-5</c:v>
                </c:pt>
                <c:pt idx="17">
                  <c:v>1.1571935703874402E-5</c:v>
                </c:pt>
                <c:pt idx="18">
                  <c:v>7.6798040545086215E-6</c:v>
                </c:pt>
                <c:pt idx="19">
                  <c:v>4.6906013142232507E-6</c:v>
                </c:pt>
                <c:pt idx="20">
                  <c:v>2.973891990661955E-6</c:v>
                </c:pt>
                <c:pt idx="21">
                  <c:v>2.1746615691284034E-6</c:v>
                </c:pt>
                <c:pt idx="22">
                  <c:v>1.4840042474264353E-6</c:v>
                </c:pt>
                <c:pt idx="23">
                  <c:v>7.3394640754582048E-7</c:v>
                </c:pt>
                <c:pt idx="24">
                  <c:v>5.1377627743396937E-7</c:v>
                </c:pt>
                <c:pt idx="25">
                  <c:v>4.06890561692486E-7</c:v>
                </c:pt>
                <c:pt idx="26">
                  <c:v>2.7546110124668901E-7</c:v>
                </c:pt>
                <c:pt idx="27">
                  <c:v>1.2604719256101414E-7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'Exceedance results'!$D$1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  <c:pt idx="25">
                  <c:v>420</c:v>
                </c:pt>
                <c:pt idx="26">
                  <c:v>440</c:v>
                </c:pt>
                <c:pt idx="27">
                  <c:v>460</c:v>
                </c:pt>
                <c:pt idx="28">
                  <c:v>480</c:v>
                </c:pt>
                <c:pt idx="29">
                  <c:v>500</c:v>
                </c:pt>
                <c:pt idx="30">
                  <c:v>550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results'!$D$2:$D$41</c:f>
              <c:numCache>
                <c:formatCode>0.00E+00</c:formatCode>
                <c:ptCount val="40"/>
                <c:pt idx="0">
                  <c:v>7.1413936722501529E-4</c:v>
                </c:pt>
                <c:pt idx="1">
                  <c:v>5.1629182550226517E-4</c:v>
                </c:pt>
                <c:pt idx="2">
                  <c:v>4.0748503194825249E-4</c:v>
                </c:pt>
                <c:pt idx="3">
                  <c:v>3.2761092040395709E-4</c:v>
                </c:pt>
                <c:pt idx="4">
                  <c:v>2.7109270810718537E-4</c:v>
                </c:pt>
                <c:pt idx="5">
                  <c:v>2.326216155921876E-4</c:v>
                </c:pt>
                <c:pt idx="6">
                  <c:v>2.0215132761771653E-4</c:v>
                </c:pt>
                <c:pt idx="7">
                  <c:v>1.771847386783747E-4</c:v>
                </c:pt>
                <c:pt idx="8">
                  <c:v>1.5420051274071865E-4</c:v>
                </c:pt>
                <c:pt idx="9">
                  <c:v>1.3335103706141278E-4</c:v>
                </c:pt>
                <c:pt idx="10">
                  <c:v>1.013539450058106E-4</c:v>
                </c:pt>
                <c:pt idx="11">
                  <c:v>7.5385153639744709E-5</c:v>
                </c:pt>
                <c:pt idx="12">
                  <c:v>5.1743208667221722E-5</c:v>
                </c:pt>
                <c:pt idx="13">
                  <c:v>3.7033695481071519E-5</c:v>
                </c:pt>
                <c:pt idx="14">
                  <c:v>2.220938084949703E-5</c:v>
                </c:pt>
                <c:pt idx="15">
                  <c:v>1.3688374071408525E-5</c:v>
                </c:pt>
                <c:pt idx="16">
                  <c:v>8.5396321931683772E-6</c:v>
                </c:pt>
                <c:pt idx="17">
                  <c:v>5.2483756383927289E-6</c:v>
                </c:pt>
                <c:pt idx="18">
                  <c:v>2.973891990661955E-6</c:v>
                </c:pt>
                <c:pt idx="19">
                  <c:v>2.0316600017222045E-6</c:v>
                </c:pt>
                <c:pt idx="20">
                  <c:v>1.0496546589161787E-6</c:v>
                </c:pt>
                <c:pt idx="21">
                  <c:v>6.9218803541346455E-7</c:v>
                </c:pt>
                <c:pt idx="22">
                  <c:v>4.06890561692486E-7</c:v>
                </c:pt>
                <c:pt idx="23">
                  <c:v>2.7546110124668901E-7</c:v>
                </c:pt>
                <c:pt idx="24">
                  <c:v>1.2604719256101414E-7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'Exceedance results'!$E$1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  <c:pt idx="25">
                  <c:v>420</c:v>
                </c:pt>
                <c:pt idx="26">
                  <c:v>440</c:v>
                </c:pt>
                <c:pt idx="27">
                  <c:v>460</c:v>
                </c:pt>
                <c:pt idx="28">
                  <c:v>480</c:v>
                </c:pt>
                <c:pt idx="29">
                  <c:v>500</c:v>
                </c:pt>
                <c:pt idx="30">
                  <c:v>550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results'!$E$2:$E$41</c:f>
              <c:numCache>
                <c:formatCode>0.00E+00</c:formatCode>
                <c:ptCount val="40"/>
                <c:pt idx="0">
                  <c:v>6.848177674538753E-4</c:v>
                </c:pt>
                <c:pt idx="1">
                  <c:v>4.8933883984332756E-4</c:v>
                </c:pt>
                <c:pt idx="2">
                  <c:v>3.8233268534613963E-4</c:v>
                </c:pt>
                <c:pt idx="3">
                  <c:v>3.0323704804879485E-4</c:v>
                </c:pt>
                <c:pt idx="4">
                  <c:v>2.5355149663067427E-4</c:v>
                </c:pt>
                <c:pt idx="5">
                  <c:v>2.2092926694696965E-4</c:v>
                </c:pt>
                <c:pt idx="6">
                  <c:v>1.8148592331139606E-4</c:v>
                </c:pt>
                <c:pt idx="7">
                  <c:v>1.5836020767023224E-4</c:v>
                </c:pt>
                <c:pt idx="8">
                  <c:v>1.3633570554656436E-4</c:v>
                </c:pt>
                <c:pt idx="9">
                  <c:v>1.1513227499341431E-4</c:v>
                </c:pt>
                <c:pt idx="10">
                  <c:v>8.437434172792569E-5</c:v>
                </c:pt>
                <c:pt idx="11">
                  <c:v>5.7563095709481767E-5</c:v>
                </c:pt>
                <c:pt idx="12">
                  <c:v>3.7527729474666553E-5</c:v>
                </c:pt>
                <c:pt idx="13">
                  <c:v>2.0013704278904919E-5</c:v>
                </c:pt>
                <c:pt idx="14">
                  <c:v>1.2266766748176529E-5</c:v>
                </c:pt>
                <c:pt idx="15">
                  <c:v>6.320577377032408E-6</c:v>
                </c:pt>
                <c:pt idx="16">
                  <c:v>3.9730623666907132E-6</c:v>
                </c:pt>
                <c:pt idx="17">
                  <c:v>2.1746615691284034E-6</c:v>
                </c:pt>
                <c:pt idx="18">
                  <c:v>1.2121023751468434E-6</c:v>
                </c:pt>
                <c:pt idx="19">
                  <c:v>6.9218803541346455E-7</c:v>
                </c:pt>
                <c:pt idx="20">
                  <c:v>4.06890561692486E-7</c:v>
                </c:pt>
                <c:pt idx="21">
                  <c:v>2.7546110124668901E-7</c:v>
                </c:pt>
                <c:pt idx="22">
                  <c:v>6.0998954100890764E-8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'Exceedance results'!$F$1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  <c:pt idx="25">
                  <c:v>420</c:v>
                </c:pt>
                <c:pt idx="26">
                  <c:v>440</c:v>
                </c:pt>
                <c:pt idx="27">
                  <c:v>460</c:v>
                </c:pt>
                <c:pt idx="28">
                  <c:v>480</c:v>
                </c:pt>
                <c:pt idx="29">
                  <c:v>500</c:v>
                </c:pt>
                <c:pt idx="30">
                  <c:v>550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results'!$F$2:$F$41</c:f>
              <c:numCache>
                <c:formatCode>0.00E+00</c:formatCode>
                <c:ptCount val="40"/>
                <c:pt idx="0">
                  <c:v>6.7054402750241378E-4</c:v>
                </c:pt>
                <c:pt idx="1">
                  <c:v>4.7487246251359409E-4</c:v>
                </c:pt>
                <c:pt idx="2">
                  <c:v>3.5835371154266848E-4</c:v>
                </c:pt>
                <c:pt idx="3">
                  <c:v>2.8601252572704359E-4</c:v>
                </c:pt>
                <c:pt idx="4">
                  <c:v>2.3580284790524045E-4</c:v>
                </c:pt>
                <c:pt idx="5">
                  <c:v>2.0051924372901432E-4</c:v>
                </c:pt>
                <c:pt idx="6">
                  <c:v>1.7266169516754379E-4</c:v>
                </c:pt>
                <c:pt idx="7">
                  <c:v>1.4209862129460244E-4</c:v>
                </c:pt>
                <c:pt idx="8">
                  <c:v>1.1847220247483993E-4</c:v>
                </c:pt>
                <c:pt idx="9">
                  <c:v>9.9230981216050777E-5</c:v>
                </c:pt>
                <c:pt idx="10">
                  <c:v>6.8164390687801982E-5</c:v>
                </c:pt>
                <c:pt idx="11">
                  <c:v>3.8088246370199163E-5</c:v>
                </c:pt>
                <c:pt idx="12">
                  <c:v>2.1771411905202199E-5</c:v>
                </c:pt>
                <c:pt idx="13">
                  <c:v>1.203417513773058E-5</c:v>
                </c:pt>
                <c:pt idx="14">
                  <c:v>5.8635591463850026E-6</c:v>
                </c:pt>
                <c:pt idx="15">
                  <c:v>2.973891990661955E-6</c:v>
                </c:pt>
                <c:pt idx="16">
                  <c:v>1.5529335431345343E-6</c:v>
                </c:pt>
                <c:pt idx="17">
                  <c:v>8.1583852089529324E-7</c:v>
                </c:pt>
                <c:pt idx="18">
                  <c:v>5.1377627743396937E-7</c:v>
                </c:pt>
                <c:pt idx="19">
                  <c:v>2.7546110124668901E-7</c:v>
                </c:pt>
                <c:pt idx="20">
                  <c:v>6.0998954100890764E-8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'Exceedance results'!$G$1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  <c:pt idx="25">
                  <c:v>420</c:v>
                </c:pt>
                <c:pt idx="26">
                  <c:v>440</c:v>
                </c:pt>
                <c:pt idx="27">
                  <c:v>460</c:v>
                </c:pt>
                <c:pt idx="28">
                  <c:v>480</c:v>
                </c:pt>
                <c:pt idx="29">
                  <c:v>500</c:v>
                </c:pt>
                <c:pt idx="30">
                  <c:v>550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results'!$G$2:$G$41</c:f>
              <c:numCache>
                <c:formatCode>0.00E+00</c:formatCode>
                <c:ptCount val="40"/>
                <c:pt idx="0">
                  <c:v>6.5009621612150033E-4</c:v>
                </c:pt>
                <c:pt idx="1">
                  <c:v>4.493615970784377E-4</c:v>
                </c:pt>
                <c:pt idx="2">
                  <c:v>3.3625378038341404E-4</c:v>
                </c:pt>
                <c:pt idx="3">
                  <c:v>2.7008643207602541E-4</c:v>
                </c:pt>
                <c:pt idx="4">
                  <c:v>2.2446225494516338E-4</c:v>
                </c:pt>
                <c:pt idx="5">
                  <c:v>1.8474217417326953E-4</c:v>
                </c:pt>
                <c:pt idx="6">
                  <c:v>1.5611284859039034E-4</c:v>
                </c:pt>
                <c:pt idx="7">
                  <c:v>1.2865300425717678E-4</c:v>
                </c:pt>
                <c:pt idx="8">
                  <c:v>1.0748090591193708E-4</c:v>
                </c:pt>
                <c:pt idx="9">
                  <c:v>8.6397684311089571E-5</c:v>
                </c:pt>
                <c:pt idx="10">
                  <c:v>4.67375077128358E-5</c:v>
                </c:pt>
                <c:pt idx="11">
                  <c:v>2.5462462367301948E-5</c:v>
                </c:pt>
                <c:pt idx="12">
                  <c:v>1.2266766748176529E-5</c:v>
                </c:pt>
                <c:pt idx="13">
                  <c:v>6.0792789209076951E-6</c:v>
                </c:pt>
                <c:pt idx="14">
                  <c:v>2.973891990661955E-6</c:v>
                </c:pt>
                <c:pt idx="15">
                  <c:v>1.5529335431345343E-6</c:v>
                </c:pt>
                <c:pt idx="16">
                  <c:v>6.9218803541346455E-7</c:v>
                </c:pt>
                <c:pt idx="17">
                  <c:v>4.06890561692486E-7</c:v>
                </c:pt>
                <c:pt idx="18">
                  <c:v>1.2604719256101414E-7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'Exceedance results'!$H$1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  <c:pt idx="25">
                  <c:v>420</c:v>
                </c:pt>
                <c:pt idx="26">
                  <c:v>440</c:v>
                </c:pt>
                <c:pt idx="27">
                  <c:v>460</c:v>
                </c:pt>
                <c:pt idx="28">
                  <c:v>480</c:v>
                </c:pt>
                <c:pt idx="29">
                  <c:v>500</c:v>
                </c:pt>
                <c:pt idx="30">
                  <c:v>550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results'!$H$2:$H$41</c:f>
              <c:numCache>
                <c:formatCode>0.00E+00</c:formatCode>
                <c:ptCount val="40"/>
                <c:pt idx="0">
                  <c:v>6.2345732597083583E-4</c:v>
                </c:pt>
                <c:pt idx="1">
                  <c:v>4.3380593336358217E-4</c:v>
                </c:pt>
                <c:pt idx="2">
                  <c:v>3.1833441798967659E-4</c:v>
                </c:pt>
                <c:pt idx="3">
                  <c:v>2.5569392294322877E-4</c:v>
                </c:pt>
                <c:pt idx="4">
                  <c:v>2.0336589171803587E-4</c:v>
                </c:pt>
                <c:pt idx="5">
                  <c:v>1.7148113885381315E-4</c:v>
                </c:pt>
                <c:pt idx="6">
                  <c:v>1.403144660075531E-4</c:v>
                </c:pt>
                <c:pt idx="7">
                  <c:v>1.1189158061728314E-4</c:v>
                </c:pt>
                <c:pt idx="8">
                  <c:v>8.9917896064459991E-5</c:v>
                </c:pt>
                <c:pt idx="9">
                  <c:v>6.5226097848862979E-5</c:v>
                </c:pt>
                <c:pt idx="10">
                  <c:v>3.4810345462189705E-5</c:v>
                </c:pt>
                <c:pt idx="11">
                  <c:v>1.5994732057695977E-5</c:v>
                </c:pt>
                <c:pt idx="12">
                  <c:v>7.1393098203859294E-6</c:v>
                </c:pt>
                <c:pt idx="13">
                  <c:v>2.973891990661955E-6</c:v>
                </c:pt>
                <c:pt idx="14">
                  <c:v>1.4840042474264353E-6</c:v>
                </c:pt>
                <c:pt idx="15">
                  <c:v>6.9218803541346455E-7</c:v>
                </c:pt>
                <c:pt idx="16">
                  <c:v>3.6087173978975672E-7</c:v>
                </c:pt>
                <c:pt idx="17">
                  <c:v>1.2604719256101414E-7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'Exceedance results'!$I$1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  <c:pt idx="25">
                  <c:v>420</c:v>
                </c:pt>
                <c:pt idx="26">
                  <c:v>440</c:v>
                </c:pt>
                <c:pt idx="27">
                  <c:v>460</c:v>
                </c:pt>
                <c:pt idx="28">
                  <c:v>480</c:v>
                </c:pt>
                <c:pt idx="29">
                  <c:v>500</c:v>
                </c:pt>
                <c:pt idx="30">
                  <c:v>550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results'!$I$2:$I$41</c:f>
              <c:numCache>
                <c:formatCode>0.00E+00</c:formatCode>
                <c:ptCount val="40"/>
                <c:pt idx="0">
                  <c:v>6.102747023302886E-4</c:v>
                </c:pt>
                <c:pt idx="1">
                  <c:v>4.110222842456319E-4</c:v>
                </c:pt>
                <c:pt idx="2">
                  <c:v>3.0323704804879485E-4</c:v>
                </c:pt>
                <c:pt idx="3">
                  <c:v>2.4482249676903493E-4</c:v>
                </c:pt>
                <c:pt idx="4">
                  <c:v>1.9735667615147082E-4</c:v>
                </c:pt>
                <c:pt idx="5">
                  <c:v>1.5522984031257061E-4</c:v>
                </c:pt>
                <c:pt idx="6">
                  <c:v>1.2497494405546588E-4</c:v>
                </c:pt>
                <c:pt idx="7">
                  <c:v>1.0150854617457064E-4</c:v>
                </c:pt>
                <c:pt idx="8">
                  <c:v>7.3901667885230448E-5</c:v>
                </c:pt>
                <c:pt idx="9">
                  <c:v>5.1616720226501216E-5</c:v>
                </c:pt>
                <c:pt idx="10">
                  <c:v>2.3222702022613827E-5</c:v>
                </c:pt>
                <c:pt idx="11">
                  <c:v>1.0020399710521725E-5</c:v>
                </c:pt>
                <c:pt idx="12">
                  <c:v>4.2701779078698095E-6</c:v>
                </c:pt>
                <c:pt idx="13">
                  <c:v>1.5529335431345343E-6</c:v>
                </c:pt>
                <c:pt idx="14">
                  <c:v>6.9218803541346455E-7</c:v>
                </c:pt>
                <c:pt idx="15">
                  <c:v>3.6087173978975672E-7</c:v>
                </c:pt>
                <c:pt idx="16">
                  <c:v>6.0998954100890764E-8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'Exceedance results'!$J$1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  <c:pt idx="25">
                  <c:v>420</c:v>
                </c:pt>
                <c:pt idx="26">
                  <c:v>440</c:v>
                </c:pt>
                <c:pt idx="27">
                  <c:v>460</c:v>
                </c:pt>
                <c:pt idx="28">
                  <c:v>480</c:v>
                </c:pt>
                <c:pt idx="29">
                  <c:v>500</c:v>
                </c:pt>
                <c:pt idx="30">
                  <c:v>550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results'!$J$2:$J$41</c:f>
              <c:numCache>
                <c:formatCode>0.00E+00</c:formatCode>
                <c:ptCount val="40"/>
                <c:pt idx="0">
                  <c:v>5.9151662689700148E-4</c:v>
                </c:pt>
                <c:pt idx="1">
                  <c:v>3.9378209792646866E-4</c:v>
                </c:pt>
                <c:pt idx="2">
                  <c:v>2.9262904386461792E-4</c:v>
                </c:pt>
                <c:pt idx="3">
                  <c:v>2.2681512739948354E-4</c:v>
                </c:pt>
                <c:pt idx="4">
                  <c:v>1.8033422231397058E-4</c:v>
                </c:pt>
                <c:pt idx="5">
                  <c:v>1.4444482648773264E-4</c:v>
                </c:pt>
                <c:pt idx="6">
                  <c:v>1.1207903875227622E-4</c:v>
                </c:pt>
                <c:pt idx="7">
                  <c:v>8.2212148163720311E-5</c:v>
                </c:pt>
                <c:pt idx="8">
                  <c:v>5.6769622490765638E-5</c:v>
                </c:pt>
                <c:pt idx="9">
                  <c:v>3.8712349738715349E-5</c:v>
                </c:pt>
                <c:pt idx="10">
                  <c:v>1.6036316937770537E-5</c:v>
                </c:pt>
                <c:pt idx="11">
                  <c:v>5.8088042901498591E-6</c:v>
                </c:pt>
                <c:pt idx="12">
                  <c:v>2.1746615691284034E-6</c:v>
                </c:pt>
                <c:pt idx="13">
                  <c:v>7.3394640754582048E-7</c:v>
                </c:pt>
                <c:pt idx="14">
                  <c:v>4.06890561692486E-7</c:v>
                </c:pt>
                <c:pt idx="15">
                  <c:v>6.0998954100890764E-8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'Exceedance results'!$K$1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  <c:pt idx="25">
                  <c:v>420</c:v>
                </c:pt>
                <c:pt idx="26">
                  <c:v>440</c:v>
                </c:pt>
                <c:pt idx="27">
                  <c:v>460</c:v>
                </c:pt>
                <c:pt idx="28">
                  <c:v>480</c:v>
                </c:pt>
                <c:pt idx="29">
                  <c:v>500</c:v>
                </c:pt>
                <c:pt idx="30">
                  <c:v>550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results'!$K$2:$K$41</c:f>
              <c:numCache>
                <c:formatCode>0.00E+00</c:formatCode>
                <c:ptCount val="40"/>
                <c:pt idx="0">
                  <c:v>5.7881557108559905E-4</c:v>
                </c:pt>
                <c:pt idx="1">
                  <c:v>3.8233268534613963E-4</c:v>
                </c:pt>
                <c:pt idx="2">
                  <c:v>2.7821835912915339E-4</c:v>
                </c:pt>
                <c:pt idx="3">
                  <c:v>2.2104790858332748E-4</c:v>
                </c:pt>
                <c:pt idx="4">
                  <c:v>1.7037196688865649E-4</c:v>
                </c:pt>
                <c:pt idx="5">
                  <c:v>1.2891010627471202E-4</c:v>
                </c:pt>
                <c:pt idx="6">
                  <c:v>9.4711175227183968E-5</c:v>
                </c:pt>
                <c:pt idx="7">
                  <c:v>6.6878005496117388E-5</c:v>
                </c:pt>
                <c:pt idx="8">
                  <c:v>4.2073236036295342E-5</c:v>
                </c:pt>
                <c:pt idx="9">
                  <c:v>2.6150437080221488E-5</c:v>
                </c:pt>
                <c:pt idx="10">
                  <c:v>8.9796668335513101E-6</c:v>
                </c:pt>
                <c:pt idx="11">
                  <c:v>2.973891990661955E-6</c:v>
                </c:pt>
                <c:pt idx="12">
                  <c:v>1.2121023751468434E-6</c:v>
                </c:pt>
                <c:pt idx="13">
                  <c:v>4.5091606068568219E-7</c:v>
                </c:pt>
                <c:pt idx="14">
                  <c:v>1.2604719256101414E-7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66280"/>
        <c:axId val="317407880"/>
      </c:scatterChart>
      <c:valAx>
        <c:axId val="317366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Overpressure mbar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424242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7407880"/>
        <c:crossesAt val="9.9999999999999995E-8"/>
        <c:crossBetween val="midCat"/>
      </c:valAx>
      <c:valAx>
        <c:axId val="317407880"/>
        <c:scaling>
          <c:logBase val="10"/>
          <c:orientation val="minMax"/>
          <c:max val="1.0000000000000002E-3"/>
          <c:min val="1.0000000000000005E-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Frequency/year</a:t>
                </a:r>
              </a:p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GB"/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662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9910983242479307"/>
          <c:y val="0.17497341678444039"/>
          <c:w val="0.48422350090854033"/>
          <c:h val="0.34954348655136053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419100</xdr:colOff>
      <xdr:row>0</xdr:row>
      <xdr:rowOff>857250</xdr:rowOff>
    </xdr:from>
    <xdr:ext cx="478464" cy="311496"/>
    <xdr:sp macro="[0]!exceedance" textlink="">
      <xdr:nvSpPr>
        <xdr:cNvPr id="2" name="TextBox 1"/>
        <xdr:cNvSpPr txBox="1"/>
      </xdr:nvSpPr>
      <xdr:spPr>
        <a:xfrm>
          <a:off x="419100" y="857250"/>
          <a:ext cx="478464" cy="311496"/>
        </a:xfrm>
        <a:prstGeom prst="rect">
          <a:avLst/>
        </a:prstGeom>
        <a:solidFill>
          <a:sysClr val="window" lastClr="FFFFFF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400" b="1">
              <a:solidFill>
                <a:srgbClr val="FF0000"/>
              </a:solidFill>
            </a:rPr>
            <a:t>Run</a:t>
          </a:r>
        </a:p>
      </xdr:txBody>
    </xdr:sp>
    <xdr:clientData/>
  </xdr:oneCellAnchor>
  <xdr:twoCellAnchor>
    <xdr:from>
      <xdr:col>18</xdr:col>
      <xdr:colOff>123825</xdr:colOff>
      <xdr:row>0</xdr:row>
      <xdr:rowOff>571500</xdr:rowOff>
    </xdr:from>
    <xdr:to>
      <xdr:col>37</xdr:col>
      <xdr:colOff>85725</xdr:colOff>
      <xdr:row>24</xdr:row>
      <xdr:rowOff>38100</xdr:rowOff>
    </xdr:to>
    <xdr:graphicFrame macro="">
      <xdr:nvGraphicFramePr>
        <xdr:cNvPr id="420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74"/>
  <sheetViews>
    <sheetView tabSelected="1" workbookViewId="0">
      <selection activeCell="S30" sqref="S30"/>
    </sheetView>
  </sheetViews>
  <sheetFormatPr defaultRowHeight="11.25" x14ac:dyDescent="0.2"/>
  <cols>
    <col min="1" max="1" width="18.33203125" style="80" customWidth="1"/>
    <col min="2" max="2" width="4.1640625" style="77" customWidth="1"/>
    <col min="3" max="4" width="3.1640625" style="77" customWidth="1"/>
    <col min="5" max="5" width="3.5" style="68" bestFit="1" customWidth="1"/>
    <col min="6" max="6" width="7" style="68" bestFit="1" customWidth="1"/>
    <col min="7" max="7" width="8.83203125" style="77" bestFit="1" customWidth="1"/>
    <col min="8" max="8" width="6" style="28" bestFit="1" customWidth="1"/>
    <col min="9" max="18" width="7.33203125" style="77" bestFit="1" customWidth="1"/>
    <col min="19" max="25" width="4.6640625" style="77" customWidth="1"/>
    <col min="26" max="28" width="4.6640625" style="80" customWidth="1"/>
    <col min="29" max="29" width="4.6640625" style="77" hidden="1" customWidth="1"/>
    <col min="30" max="32" width="4.6640625" style="77" customWidth="1"/>
    <col min="33" max="35" width="5.1640625" style="77" customWidth="1"/>
    <col min="36" max="36" width="6" style="77" customWidth="1"/>
    <col min="37" max="37" width="5.1640625" style="77" customWidth="1"/>
    <col min="38" max="38" width="4.6640625" style="77" customWidth="1"/>
    <col min="39" max="39" width="6" style="77" customWidth="1"/>
    <col min="40" max="41" width="5.1640625" style="77" customWidth="1"/>
    <col min="42" max="42" width="6" style="77" customWidth="1"/>
    <col min="43" max="45" width="4.6640625" style="77" customWidth="1"/>
    <col min="46" max="49" width="5.1640625" style="77" customWidth="1"/>
    <col min="50" max="51" width="6" style="77" customWidth="1"/>
    <col min="52" max="52" width="5.1640625" style="77" customWidth="1"/>
    <col min="53" max="55" width="6" style="77" customWidth="1"/>
    <col min="56" max="57" width="5.1640625" style="77" customWidth="1"/>
    <col min="58" max="16384" width="9.33203125" style="77"/>
  </cols>
  <sheetData>
    <row r="1" spans="1:57" s="63" customFormat="1" ht="134.25" customHeight="1" x14ac:dyDescent="0.2">
      <c r="A1" s="29"/>
      <c r="B1" s="61" t="s">
        <v>60</v>
      </c>
      <c r="C1" s="61" t="s">
        <v>59</v>
      </c>
      <c r="D1" s="61" t="s">
        <v>58</v>
      </c>
      <c r="E1" s="61" t="s">
        <v>39</v>
      </c>
      <c r="F1" s="61" t="s">
        <v>70</v>
      </c>
      <c r="G1" s="84" t="s">
        <v>57</v>
      </c>
      <c r="H1" s="85" t="s">
        <v>56</v>
      </c>
      <c r="I1" s="93"/>
      <c r="J1" s="93"/>
      <c r="K1" s="93"/>
      <c r="L1" s="93"/>
      <c r="M1" s="93"/>
      <c r="N1" s="93"/>
      <c r="O1" s="93"/>
      <c r="P1" s="93"/>
      <c r="Q1" s="93"/>
      <c r="R1" s="93"/>
      <c r="S1" s="64"/>
      <c r="T1" s="64"/>
      <c r="W1" s="65"/>
    </row>
    <row r="2" spans="1:57" s="66" customFormat="1" x14ac:dyDescent="0.2">
      <c r="A2" s="42"/>
      <c r="B2" s="86"/>
      <c r="C2" s="86"/>
      <c r="D2" s="86"/>
      <c r="E2" s="42"/>
      <c r="F2" s="42"/>
      <c r="G2" s="86"/>
      <c r="H2" s="87" t="s">
        <v>3</v>
      </c>
      <c r="I2" s="94"/>
      <c r="J2" s="94"/>
      <c r="K2" s="94"/>
      <c r="L2" s="94"/>
      <c r="M2" s="94"/>
      <c r="N2" s="94"/>
      <c r="O2" s="94"/>
      <c r="P2" s="94"/>
      <c r="Q2" s="94"/>
      <c r="R2" s="94"/>
      <c r="S2" s="27"/>
      <c r="T2" s="27"/>
      <c r="U2" s="27"/>
      <c r="V2" s="27"/>
      <c r="W2" s="68"/>
      <c r="X2" s="27"/>
      <c r="Y2" s="27"/>
      <c r="Z2" s="69"/>
      <c r="AA2" s="69"/>
      <c r="AB2" s="69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</row>
    <row r="3" spans="1:57" s="66" customFormat="1" x14ac:dyDescent="0.2">
      <c r="A3" s="101"/>
      <c r="B3" s="102"/>
      <c r="C3" s="102"/>
      <c r="D3" s="102"/>
      <c r="E3" s="101"/>
      <c r="F3" s="101"/>
      <c r="G3" s="102"/>
      <c r="H3" s="103" t="s">
        <v>38</v>
      </c>
      <c r="I3" s="60">
        <f>'IR per year'!B6</f>
        <v>1.6746241604109212E-4</v>
      </c>
      <c r="J3" s="60">
        <f>'IR per year'!C6</f>
        <v>1.4986699715016535E-4</v>
      </c>
      <c r="K3" s="60">
        <f>'IR per year'!D6</f>
        <v>1.3362458767663819E-4</v>
      </c>
      <c r="L3" s="60">
        <f>'IR per year'!E6</f>
        <v>1.1991066136074459E-4</v>
      </c>
      <c r="M3" s="60">
        <f>'IR per year'!F6</f>
        <v>1.0790518350947443E-4</v>
      </c>
      <c r="N3" s="60">
        <f>'IR per year'!G6</f>
        <v>9.7538918763740611E-5</v>
      </c>
      <c r="O3" s="60">
        <f>'IR per year'!H6</f>
        <v>8.7592418840427928E-5</v>
      </c>
      <c r="P3" s="60">
        <f>'IR per year'!I6</f>
        <v>8.0021252588815883E-5</v>
      </c>
      <c r="Q3" s="60">
        <f>'IR per year'!J6</f>
        <v>7.2035290254859519E-5</v>
      </c>
      <c r="R3" s="60">
        <f>'IR per year'!K6</f>
        <v>6.5170025802394375E-5</v>
      </c>
      <c r="S3" s="27"/>
      <c r="T3" s="27"/>
      <c r="U3" s="27"/>
      <c r="V3" s="27"/>
      <c r="W3" s="68"/>
      <c r="X3" s="27"/>
      <c r="Y3" s="27"/>
      <c r="Z3" s="69"/>
      <c r="AA3" s="69"/>
      <c r="AB3" s="69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</row>
    <row r="4" spans="1:57" s="66" customFormat="1" x14ac:dyDescent="0.2">
      <c r="A4" s="41"/>
      <c r="B4" s="30"/>
      <c r="C4" s="30"/>
      <c r="D4" s="30"/>
      <c r="E4" s="42"/>
      <c r="F4" s="42"/>
      <c r="G4" s="30"/>
      <c r="H4" s="31"/>
      <c r="I4" s="39"/>
      <c r="J4" s="39"/>
      <c r="K4" s="39"/>
      <c r="L4" s="39"/>
      <c r="M4" s="39"/>
      <c r="N4" s="39"/>
      <c r="O4" s="39"/>
      <c r="P4" s="39"/>
      <c r="Q4" s="39"/>
      <c r="R4" s="39"/>
      <c r="S4" s="27"/>
      <c r="T4" s="27"/>
      <c r="U4" s="27"/>
      <c r="V4" s="27"/>
      <c r="W4" s="68"/>
      <c r="X4" s="27"/>
      <c r="Y4" s="27"/>
      <c r="Z4" s="69"/>
      <c r="AA4" s="69"/>
      <c r="AB4" s="69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</row>
    <row r="5" spans="1:57" x14ac:dyDescent="0.2">
      <c r="A5" s="95"/>
      <c r="B5" s="96"/>
      <c r="C5" s="96"/>
      <c r="D5" s="96"/>
      <c r="E5" s="97"/>
      <c r="F5" s="97"/>
      <c r="G5" s="98"/>
      <c r="H5" s="100">
        <v>5513.1785885249819</v>
      </c>
      <c r="I5" s="94"/>
      <c r="J5" s="94"/>
      <c r="K5" s="94"/>
      <c r="L5" s="94"/>
      <c r="M5" s="94"/>
      <c r="N5" s="94"/>
      <c r="O5" s="94"/>
      <c r="P5" s="94"/>
      <c r="Q5" s="94"/>
      <c r="R5" s="94"/>
      <c r="S5" s="27"/>
      <c r="T5" s="27"/>
      <c r="U5" s="27"/>
      <c r="Z5" s="78"/>
      <c r="AA5" s="78"/>
      <c r="AB5" s="78"/>
      <c r="AC5" s="79" t="s">
        <v>40</v>
      </c>
    </row>
    <row r="6" spans="1:57" x14ac:dyDescent="0.2">
      <c r="A6" s="95"/>
      <c r="B6" s="96"/>
      <c r="C6" s="96"/>
      <c r="D6" s="96"/>
      <c r="E6" s="97"/>
      <c r="F6" s="97"/>
      <c r="G6" s="98"/>
      <c r="H6" s="100">
        <v>891.81023707222687</v>
      </c>
      <c r="I6" s="94"/>
      <c r="J6" s="94"/>
      <c r="K6" s="94"/>
      <c r="L6" s="94"/>
      <c r="M6" s="94"/>
      <c r="N6" s="94"/>
      <c r="O6" s="94"/>
      <c r="P6" s="94"/>
      <c r="Q6" s="94"/>
      <c r="R6" s="94"/>
      <c r="S6" s="27"/>
      <c r="T6" s="27"/>
      <c r="U6" s="27"/>
      <c r="Z6" s="78"/>
      <c r="AA6" s="78"/>
      <c r="AB6" s="78"/>
      <c r="AC6" s="79" t="s">
        <v>41</v>
      </c>
    </row>
    <row r="7" spans="1:57" x14ac:dyDescent="0.2">
      <c r="A7" s="95"/>
      <c r="B7" s="97"/>
      <c r="C7" s="96"/>
      <c r="D7" s="97"/>
      <c r="E7" s="97"/>
      <c r="F7" s="97"/>
      <c r="G7" s="98"/>
      <c r="H7" s="100">
        <v>966.58498885972904</v>
      </c>
      <c r="I7" s="94"/>
      <c r="J7" s="94"/>
      <c r="K7" s="94"/>
      <c r="L7" s="94"/>
      <c r="M7" s="94"/>
      <c r="N7" s="94"/>
      <c r="O7" s="94"/>
      <c r="P7" s="94"/>
      <c r="Q7" s="94"/>
      <c r="R7" s="94"/>
      <c r="S7" s="27"/>
      <c r="T7" s="27"/>
      <c r="U7" s="27"/>
      <c r="Z7" s="78"/>
      <c r="AA7" s="78"/>
      <c r="AB7" s="78"/>
    </row>
    <row r="8" spans="1:57" x14ac:dyDescent="0.2">
      <c r="A8" s="99"/>
      <c r="B8" s="97"/>
      <c r="C8" s="97"/>
      <c r="D8" s="97"/>
      <c r="E8" s="97"/>
      <c r="F8" s="97"/>
      <c r="G8" s="98"/>
      <c r="H8" s="100">
        <v>4452.0658561678856</v>
      </c>
      <c r="I8" s="94"/>
      <c r="J8" s="94"/>
      <c r="K8" s="94"/>
      <c r="L8" s="94"/>
      <c r="M8" s="94"/>
      <c r="N8" s="94"/>
      <c r="O8" s="94"/>
      <c r="P8" s="94"/>
      <c r="Q8" s="94"/>
      <c r="R8" s="94"/>
      <c r="AC8" s="79" t="s">
        <v>71</v>
      </c>
    </row>
    <row r="9" spans="1:57" x14ac:dyDescent="0.2">
      <c r="A9" s="95"/>
      <c r="B9" s="97"/>
      <c r="C9" s="96"/>
      <c r="D9" s="97"/>
      <c r="E9" s="97"/>
      <c r="F9" s="97"/>
      <c r="G9" s="98"/>
      <c r="H9" s="100">
        <v>1916.5800493118229</v>
      </c>
      <c r="I9" s="94"/>
      <c r="J9" s="94"/>
      <c r="K9" s="94"/>
      <c r="L9" s="94"/>
      <c r="M9" s="94"/>
      <c r="N9" s="94"/>
      <c r="O9" s="94"/>
      <c r="P9" s="94"/>
      <c r="Q9" s="94"/>
      <c r="R9" s="94"/>
      <c r="S9" s="27"/>
      <c r="T9" s="27"/>
      <c r="U9" s="27"/>
      <c r="Z9" s="78"/>
      <c r="AA9" s="78"/>
      <c r="AB9" s="78"/>
      <c r="AC9" s="79" t="s">
        <v>72</v>
      </c>
    </row>
    <row r="10" spans="1:57" x14ac:dyDescent="0.2">
      <c r="A10" s="95"/>
      <c r="B10" s="96"/>
      <c r="C10" s="96"/>
      <c r="D10" s="96"/>
      <c r="E10" s="97"/>
      <c r="F10" s="97"/>
      <c r="G10" s="98"/>
      <c r="H10" s="100">
        <v>5537.5433324201231</v>
      </c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27"/>
      <c r="T10" s="27"/>
      <c r="U10" s="27"/>
      <c r="W10" s="81"/>
      <c r="AC10" s="79" t="s">
        <v>74</v>
      </c>
    </row>
    <row r="11" spans="1:57" x14ac:dyDescent="0.2">
      <c r="A11" s="95"/>
      <c r="B11" s="97"/>
      <c r="C11" s="96"/>
      <c r="D11" s="97"/>
      <c r="E11" s="97"/>
      <c r="F11" s="97"/>
      <c r="G11" s="98"/>
      <c r="H11" s="100">
        <v>861.97488977718069</v>
      </c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27"/>
      <c r="T11" s="27"/>
      <c r="U11" s="27"/>
      <c r="AC11" s="79" t="s">
        <v>73</v>
      </c>
    </row>
    <row r="12" spans="1:57" x14ac:dyDescent="0.2">
      <c r="A12" s="95"/>
      <c r="B12" s="96"/>
      <c r="C12" s="96"/>
      <c r="D12" s="96"/>
      <c r="E12" s="97"/>
      <c r="F12" s="97"/>
      <c r="G12" s="98"/>
      <c r="H12" s="100">
        <v>1054.4652018049044</v>
      </c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27"/>
      <c r="T12" s="27"/>
      <c r="U12" s="27"/>
    </row>
    <row r="13" spans="1:57" x14ac:dyDescent="0.2">
      <c r="A13" s="95"/>
      <c r="B13" s="97"/>
      <c r="C13" s="96"/>
      <c r="D13" s="97"/>
      <c r="E13" s="97"/>
      <c r="F13" s="97"/>
      <c r="G13" s="98"/>
      <c r="H13" s="100">
        <v>1568.578237936523</v>
      </c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27"/>
      <c r="T13" s="27"/>
      <c r="U13" s="27"/>
    </row>
    <row r="14" spans="1:57" x14ac:dyDescent="0.2">
      <c r="A14" s="95"/>
      <c r="B14" s="96"/>
      <c r="C14" s="96"/>
      <c r="D14" s="96"/>
      <c r="E14" s="97"/>
      <c r="F14" s="97"/>
      <c r="G14" s="98"/>
      <c r="H14" s="100">
        <v>2626.7103416817563</v>
      </c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27"/>
      <c r="T14" s="27"/>
      <c r="U14" s="27"/>
    </row>
    <row r="15" spans="1:57" x14ac:dyDescent="0.2">
      <c r="A15" s="95"/>
      <c r="B15" s="96"/>
      <c r="C15" s="96"/>
      <c r="D15" s="96"/>
      <c r="E15" s="97"/>
      <c r="F15" s="97"/>
      <c r="G15" s="98"/>
      <c r="H15" s="100">
        <v>4429.9939546897012</v>
      </c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27"/>
      <c r="T15" s="27"/>
      <c r="U15" s="27"/>
      <c r="AC15" s="71" t="s">
        <v>5</v>
      </c>
    </row>
    <row r="16" spans="1:57" x14ac:dyDescent="0.2">
      <c r="A16" s="95"/>
      <c r="B16" s="96"/>
      <c r="C16" s="96"/>
      <c r="D16" s="96"/>
      <c r="E16" s="97"/>
      <c r="F16" s="97"/>
      <c r="G16" s="98"/>
      <c r="H16" s="100">
        <v>1568.575661815288</v>
      </c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27"/>
      <c r="T16" s="27"/>
      <c r="U16" s="27"/>
      <c r="AC16" s="79" t="s">
        <v>37</v>
      </c>
    </row>
    <row r="17" spans="1:29" x14ac:dyDescent="0.2">
      <c r="A17" s="95"/>
      <c r="B17" s="96"/>
      <c r="C17" s="96"/>
      <c r="D17" s="96"/>
      <c r="E17" s="97"/>
      <c r="F17" s="97"/>
      <c r="G17" s="98"/>
      <c r="H17" s="100">
        <v>973.68829183836419</v>
      </c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27"/>
      <c r="T17" s="27"/>
      <c r="U17" s="27"/>
      <c r="AC17" s="79" t="s">
        <v>6</v>
      </c>
    </row>
    <row r="18" spans="1:29" x14ac:dyDescent="0.2">
      <c r="A18" s="95"/>
      <c r="B18" s="96"/>
      <c r="C18" s="96"/>
      <c r="D18" s="96"/>
      <c r="E18" s="97"/>
      <c r="F18" s="97"/>
      <c r="G18" s="98"/>
      <c r="H18" s="100">
        <v>973.68829183836419</v>
      </c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27"/>
      <c r="T18" s="27"/>
      <c r="U18" s="27"/>
      <c r="AC18" s="79" t="s">
        <v>4</v>
      </c>
    </row>
    <row r="19" spans="1:29" x14ac:dyDescent="0.2">
      <c r="A19" s="95"/>
      <c r="B19" s="96"/>
      <c r="C19" s="96"/>
      <c r="D19" s="96"/>
      <c r="E19" s="97"/>
      <c r="F19" s="97"/>
      <c r="G19" s="98"/>
      <c r="H19" s="100">
        <v>2719.2218948271529</v>
      </c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27"/>
      <c r="T19" s="27"/>
      <c r="U19" s="27"/>
    </row>
    <row r="20" spans="1:29" x14ac:dyDescent="0.2">
      <c r="A20" s="95"/>
      <c r="B20" s="96"/>
      <c r="C20" s="96"/>
      <c r="D20" s="96"/>
      <c r="E20" s="97"/>
      <c r="F20" s="97"/>
      <c r="G20" s="98"/>
      <c r="H20" s="100">
        <v>4429.9931454060334</v>
      </c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27"/>
      <c r="T20" s="27"/>
      <c r="U20" s="27"/>
    </row>
    <row r="21" spans="1:29" x14ac:dyDescent="0.2">
      <c r="A21" s="95"/>
      <c r="B21" s="96"/>
      <c r="C21" s="96"/>
      <c r="D21" s="96"/>
      <c r="E21" s="97"/>
      <c r="F21" s="97"/>
      <c r="G21" s="98"/>
      <c r="H21" s="100">
        <v>1568.5756618241035</v>
      </c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27"/>
      <c r="T21" s="27"/>
      <c r="U21" s="27"/>
    </row>
    <row r="22" spans="1:29" x14ac:dyDescent="0.2">
      <c r="A22" s="95"/>
      <c r="B22" s="96"/>
      <c r="C22" s="96"/>
      <c r="D22" s="96"/>
      <c r="E22" s="97"/>
      <c r="F22" s="97"/>
      <c r="G22" s="98"/>
      <c r="H22" s="100">
        <v>973.68829183836442</v>
      </c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27"/>
      <c r="T22" s="27"/>
      <c r="U22" s="27"/>
    </row>
    <row r="23" spans="1:29" x14ac:dyDescent="0.2">
      <c r="A23" s="95"/>
      <c r="B23" s="96"/>
      <c r="C23" s="96"/>
      <c r="D23" s="96"/>
      <c r="E23" s="97"/>
      <c r="F23" s="97"/>
      <c r="G23" s="98"/>
      <c r="H23" s="100">
        <v>973.68829183836442</v>
      </c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27"/>
      <c r="T23" s="27"/>
      <c r="U23" s="27"/>
    </row>
    <row r="24" spans="1:29" x14ac:dyDescent="0.2">
      <c r="A24" s="95"/>
      <c r="B24" s="96"/>
      <c r="C24" s="96"/>
      <c r="D24" s="96"/>
      <c r="E24" s="97"/>
      <c r="F24" s="97"/>
      <c r="G24" s="98"/>
      <c r="H24" s="100">
        <v>2719.2218948271529</v>
      </c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27"/>
      <c r="T24" s="27"/>
      <c r="U24" s="27"/>
    </row>
    <row r="25" spans="1:29" x14ac:dyDescent="0.2">
      <c r="A25" s="72"/>
      <c r="B25" s="73"/>
      <c r="C25" s="73"/>
      <c r="D25" s="73"/>
      <c r="E25" s="74"/>
      <c r="F25" s="74"/>
      <c r="G25" s="75"/>
      <c r="H25" s="76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27"/>
      <c r="T25" s="27"/>
      <c r="U25" s="27"/>
    </row>
    <row r="26" spans="1:29" x14ac:dyDescent="0.2">
      <c r="A26" s="12"/>
      <c r="C26" s="70"/>
      <c r="E26" s="77"/>
      <c r="F26" s="7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</row>
    <row r="27" spans="1:29" x14ac:dyDescent="0.2">
      <c r="A27" s="12"/>
      <c r="B27" s="70"/>
      <c r="C27" s="70"/>
      <c r="D27" s="70"/>
      <c r="E27" s="77"/>
      <c r="F27" s="77"/>
      <c r="G27" s="70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</row>
    <row r="28" spans="1:29" x14ac:dyDescent="0.2">
      <c r="A28" s="12"/>
      <c r="C28" s="70"/>
      <c r="E28" s="77"/>
      <c r="F28" s="7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</row>
    <row r="29" spans="1:29" x14ac:dyDescent="0.2">
      <c r="A29" s="12"/>
      <c r="B29" s="70"/>
      <c r="C29" s="70"/>
      <c r="D29" s="70"/>
      <c r="E29" s="77"/>
      <c r="F29" s="77"/>
      <c r="G29" s="70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</row>
    <row r="30" spans="1:29" x14ac:dyDescent="0.2">
      <c r="A30" s="12"/>
      <c r="C30" s="70"/>
      <c r="E30" s="77"/>
      <c r="F30" s="7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</row>
    <row r="31" spans="1:29" x14ac:dyDescent="0.2">
      <c r="A31" s="12"/>
      <c r="B31" s="70"/>
      <c r="C31" s="70"/>
      <c r="D31" s="70"/>
      <c r="E31" s="77"/>
      <c r="F31" s="77"/>
      <c r="G31" s="70"/>
    </row>
    <row r="32" spans="1:29" x14ac:dyDescent="0.2">
      <c r="A32" s="12"/>
      <c r="C32" s="70"/>
      <c r="E32" s="77"/>
      <c r="F32" s="77"/>
    </row>
    <row r="33" spans="1:21" x14ac:dyDescent="0.2">
      <c r="A33" s="12"/>
      <c r="E33" s="77"/>
      <c r="F33" s="77"/>
    </row>
    <row r="34" spans="1:21" x14ac:dyDescent="0.2">
      <c r="A34" s="82"/>
      <c r="E34" s="77"/>
      <c r="F34" s="77"/>
    </row>
    <row r="35" spans="1:21" x14ac:dyDescent="0.2">
      <c r="A35" s="82"/>
      <c r="E35" s="77"/>
      <c r="F35" s="77"/>
    </row>
    <row r="36" spans="1:21" x14ac:dyDescent="0.2">
      <c r="A36" s="82"/>
      <c r="E36" s="77"/>
      <c r="F36" s="77"/>
    </row>
    <row r="37" spans="1:21" x14ac:dyDescent="0.2">
      <c r="A37" s="82"/>
      <c r="E37" s="77"/>
      <c r="F37" s="77"/>
    </row>
    <row r="38" spans="1:21" x14ac:dyDescent="0.2">
      <c r="A38" s="82"/>
      <c r="E38" s="77"/>
      <c r="F38" s="77"/>
    </row>
    <row r="48" spans="1:21" x14ac:dyDescent="0.2">
      <c r="E48" s="77"/>
      <c r="F48" s="7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</row>
    <row r="49" spans="5:21" x14ac:dyDescent="0.2">
      <c r="E49" s="77"/>
      <c r="F49" s="7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</row>
    <row r="50" spans="5:21" x14ac:dyDescent="0.2">
      <c r="E50" s="77"/>
      <c r="F50" s="7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</row>
    <row r="51" spans="5:21" x14ac:dyDescent="0.2">
      <c r="E51" s="77"/>
      <c r="F51" s="7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</row>
    <row r="52" spans="5:21" x14ac:dyDescent="0.2">
      <c r="E52" s="77"/>
      <c r="F52" s="7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</row>
    <row r="53" spans="5:21" x14ac:dyDescent="0.2">
      <c r="E53" s="77"/>
      <c r="F53" s="7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</row>
    <row r="54" spans="5:21" x14ac:dyDescent="0.2">
      <c r="E54" s="77"/>
      <c r="F54" s="77"/>
      <c r="I54" s="27"/>
      <c r="J54" s="83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</row>
    <row r="55" spans="5:21" x14ac:dyDescent="0.2">
      <c r="E55" s="77"/>
      <c r="F55" s="7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</row>
    <row r="56" spans="5:21" x14ac:dyDescent="0.2">
      <c r="E56" s="77"/>
      <c r="F56" s="7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</row>
    <row r="57" spans="5:21" x14ac:dyDescent="0.2">
      <c r="E57" s="77"/>
      <c r="F57" s="7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</row>
    <row r="58" spans="5:21" x14ac:dyDescent="0.2">
      <c r="E58" s="77"/>
      <c r="F58" s="7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</row>
    <row r="59" spans="5:21" x14ac:dyDescent="0.2">
      <c r="E59" s="77"/>
      <c r="F59" s="7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</row>
    <row r="60" spans="5:21" x14ac:dyDescent="0.2">
      <c r="E60" s="77"/>
      <c r="F60" s="7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</row>
    <row r="61" spans="5:21" x14ac:dyDescent="0.2">
      <c r="E61" s="77"/>
      <c r="F61" s="7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</row>
    <row r="62" spans="5:21" x14ac:dyDescent="0.2">
      <c r="E62" s="77"/>
      <c r="F62" s="7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</row>
    <row r="63" spans="5:21" x14ac:dyDescent="0.2">
      <c r="E63" s="77"/>
      <c r="F63" s="7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</row>
    <row r="64" spans="5:21" x14ac:dyDescent="0.2">
      <c r="E64" s="77"/>
      <c r="F64" s="7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</row>
    <row r="65" spans="5:21" x14ac:dyDescent="0.2">
      <c r="E65" s="77"/>
      <c r="F65" s="7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</row>
    <row r="66" spans="5:21" x14ac:dyDescent="0.2">
      <c r="E66" s="77"/>
      <c r="F66" s="7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</row>
    <row r="67" spans="5:21" x14ac:dyDescent="0.2">
      <c r="E67" s="77"/>
      <c r="F67" s="7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</row>
    <row r="68" spans="5:21" x14ac:dyDescent="0.2">
      <c r="E68" s="77"/>
      <c r="F68" s="7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</row>
    <row r="69" spans="5:21" x14ac:dyDescent="0.2">
      <c r="E69" s="77"/>
      <c r="F69" s="7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</row>
    <row r="70" spans="5:21" x14ac:dyDescent="0.2">
      <c r="E70" s="77"/>
      <c r="F70" s="7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</row>
    <row r="71" spans="5:21" x14ac:dyDescent="0.2">
      <c r="E71" s="77"/>
      <c r="F71" s="7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</row>
    <row r="72" spans="5:21" x14ac:dyDescent="0.2">
      <c r="E72" s="77"/>
      <c r="F72" s="7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</row>
    <row r="73" spans="5:21" x14ac:dyDescent="0.2">
      <c r="E73" s="77"/>
      <c r="F73" s="7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</row>
    <row r="74" spans="5:21" x14ac:dyDescent="0.2">
      <c r="E74" s="77"/>
      <c r="F74" s="77"/>
    </row>
  </sheetData>
  <phoneticPr fontId="0" type="noConversion"/>
  <dataValidations count="3">
    <dataValidation type="list" allowBlank="1" showInputMessage="1" showErrorMessage="1" sqref="I2:R2 I4:R4">
      <formula1>$AC$15:$AC$18</formula1>
    </dataValidation>
    <dataValidation type="list" allowBlank="1" showInputMessage="1" showErrorMessage="1" sqref="E5:E25">
      <formula1>$AC$5:$AC$6</formula1>
    </dataValidation>
    <dataValidation type="list" allowBlank="1" showInputMessage="1" showErrorMessage="1" sqref="F5:F25">
      <formula1>$AC$8:$AC$11</formula1>
    </dataValidation>
  </dataValidations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"/>
  <sheetViews>
    <sheetView workbookViewId="0">
      <selection activeCell="B5" sqref="B5"/>
    </sheetView>
  </sheetViews>
  <sheetFormatPr defaultRowHeight="11.25" x14ac:dyDescent="0.2"/>
  <cols>
    <col min="1" max="1" width="9.33203125" style="32"/>
    <col min="2" max="2" width="9.6640625" style="32" bestFit="1" customWidth="1"/>
    <col min="3" max="16384" width="9.33203125" style="32"/>
  </cols>
  <sheetData>
    <row r="1" spans="1:9" x14ac:dyDescent="0.2">
      <c r="A1" s="43"/>
      <c r="B1" s="44" t="s">
        <v>39</v>
      </c>
      <c r="C1" s="97" t="s">
        <v>40</v>
      </c>
      <c r="D1" s="43"/>
      <c r="E1" s="45"/>
      <c r="F1" s="45"/>
      <c r="G1" s="45"/>
      <c r="H1" s="46"/>
      <c r="I1" s="43"/>
    </row>
    <row r="2" spans="1:9" ht="12.75" x14ac:dyDescent="0.2">
      <c r="A2" s="43"/>
      <c r="B2" s="44" t="s">
        <v>70</v>
      </c>
      <c r="C2" s="97" t="s">
        <v>74</v>
      </c>
      <c r="D2" s="43"/>
      <c r="E2" s="47"/>
      <c r="F2" s="47"/>
      <c r="G2" s="45"/>
      <c r="H2" s="46"/>
      <c r="I2" s="43"/>
    </row>
    <row r="3" spans="1:9" ht="12.75" x14ac:dyDescent="0.2">
      <c r="B3" s="48" t="s">
        <v>0</v>
      </c>
      <c r="C3" s="48" t="s">
        <v>1</v>
      </c>
      <c r="D3" s="49" t="s">
        <v>2</v>
      </c>
      <c r="E3" s="47"/>
      <c r="F3" s="47"/>
      <c r="G3" s="45"/>
      <c r="H3" s="46"/>
      <c r="I3" s="43"/>
    </row>
    <row r="4" spans="1:9" ht="12.75" x14ac:dyDescent="0.2">
      <c r="A4" s="95" t="s">
        <v>69</v>
      </c>
      <c r="B4" s="96">
        <v>120</v>
      </c>
      <c r="C4" s="96">
        <v>40</v>
      </c>
      <c r="D4" s="96">
        <v>8</v>
      </c>
      <c r="E4" s="47" t="s">
        <v>17</v>
      </c>
      <c r="F4" s="47"/>
      <c r="G4" s="45"/>
      <c r="H4" s="46"/>
      <c r="I4" s="43"/>
    </row>
    <row r="5" spans="1:9" ht="12.75" x14ac:dyDescent="0.2">
      <c r="A5" s="44" t="s">
        <v>54</v>
      </c>
      <c r="B5" s="50">
        <f>G17*1000</f>
        <v>2719.2218948271529</v>
      </c>
      <c r="C5" s="44" t="s">
        <v>18</v>
      </c>
      <c r="D5" s="43"/>
      <c r="E5" s="47"/>
      <c r="F5" s="47"/>
      <c r="G5" s="45"/>
      <c r="H5" s="46"/>
      <c r="I5" s="43"/>
    </row>
    <row r="6" spans="1:9" ht="12.75" x14ac:dyDescent="0.2">
      <c r="A6" s="43"/>
      <c r="E6" s="47"/>
      <c r="F6" s="45"/>
      <c r="G6" s="45"/>
      <c r="H6" s="51"/>
      <c r="I6" s="43"/>
    </row>
    <row r="7" spans="1:9" ht="12.75" x14ac:dyDescent="0.2">
      <c r="A7" s="43"/>
      <c r="E7" s="47"/>
      <c r="F7" s="45"/>
      <c r="G7" s="45"/>
      <c r="H7" s="46"/>
      <c r="I7" s="43"/>
    </row>
    <row r="8" spans="1:9" x14ac:dyDescent="0.2">
      <c r="A8" s="43" t="s">
        <v>42</v>
      </c>
      <c r="B8" s="43"/>
      <c r="C8" s="52">
        <f>IF(C1="C1", 0.6,1)</f>
        <v>1</v>
      </c>
      <c r="E8" s="45"/>
      <c r="F8" s="45"/>
      <c r="G8" s="45"/>
      <c r="H8" s="46"/>
      <c r="I8" s="43"/>
    </row>
    <row r="9" spans="1:9" x14ac:dyDescent="0.2">
      <c r="A9" s="43" t="s">
        <v>43</v>
      </c>
      <c r="B9" s="43"/>
      <c r="C9" s="53">
        <v>4</v>
      </c>
      <c r="D9" s="54"/>
      <c r="E9" s="45"/>
      <c r="F9" s="45"/>
      <c r="G9" s="45"/>
      <c r="H9" s="46"/>
      <c r="I9" s="43"/>
    </row>
    <row r="10" spans="1:9" ht="12.75" x14ac:dyDescent="0.2">
      <c r="A10" s="47" t="s">
        <v>44</v>
      </c>
      <c r="B10" s="43"/>
      <c r="C10" s="45">
        <f>IF(C1="C1",7.8,8.2)</f>
        <v>8.1999999999999993</v>
      </c>
      <c r="D10" s="43"/>
      <c r="E10" s="45"/>
      <c r="F10" s="45"/>
      <c r="G10" s="45"/>
      <c r="H10" s="46"/>
      <c r="I10" s="43"/>
    </row>
    <row r="11" spans="1:9" x14ac:dyDescent="0.2">
      <c r="A11" s="43"/>
      <c r="B11" s="43" t="s">
        <v>45</v>
      </c>
      <c r="C11" s="43" t="s">
        <v>46</v>
      </c>
      <c r="D11" s="43" t="s">
        <v>47</v>
      </c>
      <c r="E11" s="45"/>
      <c r="F11" s="45"/>
      <c r="G11" s="45"/>
      <c r="H11" s="46"/>
      <c r="I11" s="43"/>
    </row>
    <row r="12" spans="1:9" ht="12.75" x14ac:dyDescent="0.2">
      <c r="A12" s="43"/>
      <c r="B12" s="45" t="s">
        <v>48</v>
      </c>
      <c r="C12" s="45" t="s">
        <v>49</v>
      </c>
      <c r="D12" s="45" t="s">
        <v>50</v>
      </c>
      <c r="E12" s="45"/>
      <c r="F12" s="45"/>
      <c r="G12" s="47"/>
      <c r="H12" s="46"/>
      <c r="I12" s="55"/>
    </row>
    <row r="13" spans="1:9" x14ac:dyDescent="0.2">
      <c r="A13" s="43" t="s">
        <v>51</v>
      </c>
      <c r="B13" s="53">
        <v>100</v>
      </c>
      <c r="C13" s="53">
        <f>INT(B13/7+1)</f>
        <v>15</v>
      </c>
      <c r="D13" s="52">
        <f>IF($C$2="severe",0.45,IF($C$2="high",0.35,IF($C$2="medium",0.25,0.15)))</f>
        <v>0.25</v>
      </c>
      <c r="E13" s="45">
        <f>B13/2</f>
        <v>50</v>
      </c>
      <c r="F13" s="45">
        <f>C13/2</f>
        <v>7.5</v>
      </c>
      <c r="G13" s="56">
        <f>0.89*$C$8*$C$9* $E13^0.55* $F13^1.99* EXP(6.44*$D13)</f>
        <v>8442.4700837908749</v>
      </c>
      <c r="H13" s="57"/>
      <c r="I13" s="43"/>
    </row>
    <row r="14" spans="1:9" x14ac:dyDescent="0.2">
      <c r="A14" s="43" t="s">
        <v>52</v>
      </c>
      <c r="B14" s="53">
        <f>C4</f>
        <v>40</v>
      </c>
      <c r="C14" s="53">
        <f>INT(B14/6+1)</f>
        <v>7</v>
      </c>
      <c r="D14" s="52">
        <f>IF($C$2="severe",0.45,IF($C$2="high",0.35,IF($C$2="medium",0.25,0.15)))</f>
        <v>0.25</v>
      </c>
      <c r="E14" s="45">
        <f>B14/2</f>
        <v>20</v>
      </c>
      <c r="F14" s="45">
        <f>C14/2</f>
        <v>3.5</v>
      </c>
      <c r="G14" s="56">
        <f>0.89*$C$8*$C$9* $E14^0.55* $F14^1.99* EXP(6.44*$D14)</f>
        <v>1119.2472080380971</v>
      </c>
      <c r="H14" s="57"/>
      <c r="I14" s="43"/>
    </row>
    <row r="15" spans="1:9" x14ac:dyDescent="0.2">
      <c r="A15" s="43" t="s">
        <v>15</v>
      </c>
      <c r="B15" s="53">
        <f>D4</f>
        <v>8</v>
      </c>
      <c r="C15" s="53">
        <f>INT(B15/3)</f>
        <v>2</v>
      </c>
      <c r="D15" s="52">
        <f>IF($C$2="severe",0.45,IF($C$2="high",0.35,IF($C$2="medium",0.25,0.15)))</f>
        <v>0.25</v>
      </c>
      <c r="E15" s="45">
        <f>B15</f>
        <v>8</v>
      </c>
      <c r="F15" s="45">
        <f>C15</f>
        <v>2</v>
      </c>
      <c r="G15" s="56">
        <f>0.89*$C$8*$C$9* $E15^0.55* $F15^1.99* EXP(6.44*$D15)</f>
        <v>222.03083799268157</v>
      </c>
      <c r="H15" s="57">
        <f>(G16/1000-G17*EXP(0.4*G17/(C10^1.08-1-G17)))</f>
        <v>1.4998094912677118E-6</v>
      </c>
      <c r="I15" s="43"/>
    </row>
    <row r="16" spans="1:9" ht="12.75" x14ac:dyDescent="0.2">
      <c r="A16" s="43"/>
      <c r="B16" s="45"/>
      <c r="C16" s="45"/>
      <c r="D16" s="45"/>
      <c r="E16" s="45"/>
      <c r="F16" s="47" t="s">
        <v>53</v>
      </c>
      <c r="G16" s="58">
        <f>SUM(G13:G15)/3</f>
        <v>3261.249376607218</v>
      </c>
      <c r="H16" s="46" t="s">
        <v>18</v>
      </c>
      <c r="I16" s="43"/>
    </row>
    <row r="17" spans="1:9" ht="12.75" x14ac:dyDescent="0.2">
      <c r="A17" s="43"/>
      <c r="B17" s="45"/>
      <c r="C17" s="45"/>
      <c r="D17" s="45"/>
      <c r="E17" s="45"/>
      <c r="F17" s="47" t="s">
        <v>54</v>
      </c>
      <c r="G17" s="59">
        <v>2.7192218948271529</v>
      </c>
      <c r="H17" s="51" t="s">
        <v>55</v>
      </c>
      <c r="I17" s="43"/>
    </row>
  </sheetData>
  <scenarios current="0">
    <scenario name="pressure" count="1" user="Martin de Groot" comment="Created by Martin de Groot on 9/24/2015">
      <inputCells r="G17" val="6.57968021964623" numFmtId="164"/>
    </scenario>
  </scenarios>
  <dataValidations count="2">
    <dataValidation type="list" allowBlank="1" showInputMessage="1" showErrorMessage="1" sqref="C1">
      <formula1>$AC$5:$AC$6</formula1>
    </dataValidation>
    <dataValidation type="list" allowBlank="1" showInputMessage="1" showErrorMessage="1" sqref="C2">
      <formula1>$AC$8:$AC$11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C72"/>
  <sheetViews>
    <sheetView showZeros="0" workbookViewId="0">
      <selection activeCell="B2" sqref="B2:AY72"/>
    </sheetView>
  </sheetViews>
  <sheetFormatPr defaultRowHeight="11.25" x14ac:dyDescent="0.2"/>
  <cols>
    <col min="1" max="1" width="7" style="4" customWidth="1"/>
    <col min="2" max="52" width="8.6640625" style="2" customWidth="1"/>
    <col min="53" max="16384" width="9.33203125" style="2"/>
  </cols>
  <sheetData>
    <row r="1" spans="1:55" s="10" customFormat="1" ht="77.25" x14ac:dyDescent="0.2">
      <c r="A1" s="62"/>
      <c r="B1" s="9">
        <f>Input!I1</f>
        <v>0</v>
      </c>
      <c r="C1" s="9">
        <f>Input!J1</f>
        <v>0</v>
      </c>
      <c r="D1" s="9">
        <f>Input!K1</f>
        <v>0</v>
      </c>
      <c r="E1" s="9">
        <f>Input!L1</f>
        <v>0</v>
      </c>
      <c r="F1" s="9">
        <f>Input!M1</f>
        <v>0</v>
      </c>
      <c r="G1" s="9">
        <f>Input!N1</f>
        <v>0</v>
      </c>
      <c r="H1" s="9">
        <f>Input!O1</f>
        <v>0</v>
      </c>
      <c r="I1" s="9">
        <f>Input!P1</f>
        <v>0</v>
      </c>
      <c r="J1" s="9">
        <f>Input!Q1</f>
        <v>0</v>
      </c>
      <c r="K1" s="9">
        <f>Input!R1</f>
        <v>0</v>
      </c>
      <c r="L1" s="9">
        <f>Input!S1</f>
        <v>0</v>
      </c>
      <c r="M1" s="9">
        <f>Input!T1</f>
        <v>0</v>
      </c>
      <c r="N1" s="9">
        <f>Input!U1</f>
        <v>0</v>
      </c>
      <c r="O1" s="9">
        <f>Input!V1</f>
        <v>0</v>
      </c>
      <c r="P1" s="9">
        <f>Input!W1</f>
        <v>0</v>
      </c>
      <c r="Q1" s="9">
        <f>Input!X1</f>
        <v>0</v>
      </c>
      <c r="R1" s="9">
        <f>Input!Y1</f>
        <v>0</v>
      </c>
      <c r="S1" s="9">
        <f>Input!Z1</f>
        <v>0</v>
      </c>
      <c r="T1" s="9">
        <f>Input!AA1</f>
        <v>0</v>
      </c>
      <c r="U1" s="9">
        <f>Input!AB1</f>
        <v>0</v>
      </c>
      <c r="V1" s="9">
        <f>Input!AC1</f>
        <v>0</v>
      </c>
      <c r="W1" s="9">
        <f>Input!AD1</f>
        <v>0</v>
      </c>
      <c r="X1" s="9">
        <f>Input!AE1</f>
        <v>0</v>
      </c>
      <c r="Y1" s="9">
        <f>Input!AF1</f>
        <v>0</v>
      </c>
      <c r="Z1" s="9">
        <f>Input!AG1</f>
        <v>0</v>
      </c>
      <c r="AA1" s="9">
        <f>Input!AH1</f>
        <v>0</v>
      </c>
      <c r="AB1" s="9">
        <f>Input!AI1</f>
        <v>0</v>
      </c>
      <c r="AC1" s="9">
        <f>Input!AJ1</f>
        <v>0</v>
      </c>
      <c r="AD1" s="9">
        <f>Input!AK1</f>
        <v>0</v>
      </c>
      <c r="AE1" s="9">
        <f>Input!AL1</f>
        <v>0</v>
      </c>
      <c r="AF1" s="9">
        <f>Input!AM1</f>
        <v>0</v>
      </c>
      <c r="AG1" s="9">
        <f>Input!AN1</f>
        <v>0</v>
      </c>
      <c r="AH1" s="9">
        <f>Input!AO1</f>
        <v>0</v>
      </c>
      <c r="AI1" s="9">
        <f>Input!AP1</f>
        <v>0</v>
      </c>
      <c r="AJ1" s="9">
        <f>Input!AQ1</f>
        <v>0</v>
      </c>
      <c r="AK1" s="9">
        <f>Input!AR1</f>
        <v>0</v>
      </c>
      <c r="AL1" s="9">
        <f>Input!AS1</f>
        <v>0</v>
      </c>
      <c r="AM1" s="9">
        <f>Input!AT1</f>
        <v>0</v>
      </c>
      <c r="AN1" s="9">
        <f>Input!AU1</f>
        <v>0</v>
      </c>
      <c r="AO1" s="9">
        <f>Input!AV1</f>
        <v>0</v>
      </c>
      <c r="AP1" s="9">
        <f>Input!AW1</f>
        <v>0</v>
      </c>
      <c r="AQ1" s="9">
        <f>Input!AX1</f>
        <v>0</v>
      </c>
      <c r="AR1" s="9">
        <f>Input!AY1</f>
        <v>0</v>
      </c>
      <c r="AS1" s="9">
        <f>Input!AZ1</f>
        <v>0</v>
      </c>
      <c r="AT1" s="9">
        <f>Input!BA1</f>
        <v>0</v>
      </c>
      <c r="AU1" s="9">
        <f>Input!BB1</f>
        <v>0</v>
      </c>
      <c r="AV1" s="9">
        <f>Input!BC1</f>
        <v>0</v>
      </c>
      <c r="AW1" s="9">
        <f>Input!BD1</f>
        <v>0</v>
      </c>
      <c r="AX1" s="9">
        <f>Input!BE1</f>
        <v>0</v>
      </c>
      <c r="AY1" s="9">
        <f>Input!BF1</f>
        <v>0</v>
      </c>
      <c r="AZ1" s="9">
        <f>Input!BG1</f>
        <v>0</v>
      </c>
      <c r="BA1" s="9">
        <f>Input!BH1</f>
        <v>0</v>
      </c>
      <c r="BB1" s="9">
        <f>Input!BI1</f>
        <v>0</v>
      </c>
      <c r="BC1" s="9"/>
    </row>
    <row r="2" spans="1:55" x14ac:dyDescent="0.2">
      <c r="A2" s="4">
        <f>IF(SUM(B2:K2)=0,0.001,Model!A10)</f>
        <v>10</v>
      </c>
      <c r="B2" s="3">
        <v>7.6186124415912138E-4</v>
      </c>
      <c r="C2" s="3">
        <v>7.3869386775834718E-4</v>
      </c>
      <c r="D2" s="3">
        <v>7.1413936722501529E-4</v>
      </c>
      <c r="E2" s="3">
        <v>6.848177674538753E-4</v>
      </c>
      <c r="F2" s="3">
        <v>6.7054402750241378E-4</v>
      </c>
      <c r="G2" s="3">
        <v>6.5009621612150033E-4</v>
      </c>
      <c r="H2" s="3">
        <v>6.2345732597083583E-4</v>
      </c>
      <c r="I2" s="3">
        <v>6.102747023302886E-4</v>
      </c>
      <c r="J2" s="3">
        <v>5.9151662689700148E-4</v>
      </c>
      <c r="K2" s="3">
        <v>5.7881557108559905E-4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/>
    </row>
    <row r="3" spans="1:55" x14ac:dyDescent="0.2">
      <c r="A3" s="4">
        <f>IF(SUM(B3:K3)=0,0.001,Model!A11)</f>
        <v>20</v>
      </c>
      <c r="B3" s="3">
        <v>5.7881557108559905E-4</v>
      </c>
      <c r="C3" s="3">
        <v>5.5055930771850633E-4</v>
      </c>
      <c r="D3" s="3">
        <v>5.1629182550226517E-4</v>
      </c>
      <c r="E3" s="3">
        <v>4.8933883984332756E-4</v>
      </c>
      <c r="F3" s="3">
        <v>4.7487246251359409E-4</v>
      </c>
      <c r="G3" s="3">
        <v>4.493615970784377E-4</v>
      </c>
      <c r="H3" s="3">
        <v>4.3380593336358217E-4</v>
      </c>
      <c r="I3" s="3">
        <v>4.110222842456319E-4</v>
      </c>
      <c r="J3" s="3">
        <v>3.9378209792646866E-4</v>
      </c>
      <c r="K3" s="3">
        <v>3.8233268534613963E-4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/>
    </row>
    <row r="4" spans="1:55" x14ac:dyDescent="0.2">
      <c r="A4" s="4">
        <f>IF(SUM(B4:K4)=0,0.001,Model!A12)</f>
        <v>30</v>
      </c>
      <c r="B4" s="3">
        <v>4.5813507690978163E-4</v>
      </c>
      <c r="C4" s="3">
        <v>4.2713975698764823E-4</v>
      </c>
      <c r="D4" s="3">
        <v>4.0748503194825249E-4</v>
      </c>
      <c r="E4" s="3">
        <v>3.8233268534613963E-4</v>
      </c>
      <c r="F4" s="3">
        <v>3.5835371154266848E-4</v>
      </c>
      <c r="G4" s="3">
        <v>3.3625378038341404E-4</v>
      </c>
      <c r="H4" s="3">
        <v>3.1833441798967659E-4</v>
      </c>
      <c r="I4" s="3">
        <v>3.0323704804879485E-4</v>
      </c>
      <c r="J4" s="3">
        <v>2.9262904386461792E-4</v>
      </c>
      <c r="K4" s="3">
        <v>2.7821835912915339E-4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/>
    </row>
    <row r="5" spans="1:55" x14ac:dyDescent="0.2">
      <c r="A5" s="4">
        <f>IF(SUM(B5:K5)=0,0.001,Model!A13)</f>
        <v>40</v>
      </c>
      <c r="B5" s="3">
        <v>3.8233268534613963E-4</v>
      </c>
      <c r="C5" s="3">
        <v>3.5400354310423593E-4</v>
      </c>
      <c r="D5" s="3">
        <v>3.2761092040395709E-4</v>
      </c>
      <c r="E5" s="3">
        <v>3.0323704804879485E-4</v>
      </c>
      <c r="F5" s="3">
        <v>2.8601252572704359E-4</v>
      </c>
      <c r="G5" s="3">
        <v>2.7008643207602541E-4</v>
      </c>
      <c r="H5" s="3">
        <v>2.5569392294322877E-4</v>
      </c>
      <c r="I5" s="3">
        <v>2.4482249676903493E-4</v>
      </c>
      <c r="J5" s="3">
        <v>2.2681512739948354E-4</v>
      </c>
      <c r="K5" s="3">
        <v>2.2104790858332748E-4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/>
    </row>
    <row r="6" spans="1:55" x14ac:dyDescent="0.2">
      <c r="A6" s="4">
        <f>IF(SUM(B6:K6)=0,0.001,Model!A14)</f>
        <v>50</v>
      </c>
      <c r="B6" s="3">
        <v>3.1833441798967659E-4</v>
      </c>
      <c r="C6" s="3">
        <v>2.9637419211978462E-4</v>
      </c>
      <c r="D6" s="3">
        <v>2.7109270810718537E-4</v>
      </c>
      <c r="E6" s="3">
        <v>2.5355149663067427E-4</v>
      </c>
      <c r="F6" s="3">
        <v>2.3580284790524045E-4</v>
      </c>
      <c r="G6" s="3">
        <v>2.2446225494516338E-4</v>
      </c>
      <c r="H6" s="3">
        <v>2.0336589171803587E-4</v>
      </c>
      <c r="I6" s="3">
        <v>1.9735667615147082E-4</v>
      </c>
      <c r="J6" s="3">
        <v>1.8033422231397058E-4</v>
      </c>
      <c r="K6" s="3">
        <v>1.7037196688865649E-4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/>
    </row>
    <row r="7" spans="1:55" x14ac:dyDescent="0.2">
      <c r="A7" s="4">
        <f>IF(SUM(B7:K7)=0,0.001,Model!A15)</f>
        <v>60</v>
      </c>
      <c r="B7" s="3">
        <v>2.745037281506517E-4</v>
      </c>
      <c r="C7" s="3">
        <v>2.5325302447934281E-4</v>
      </c>
      <c r="D7" s="3">
        <v>2.326216155921876E-4</v>
      </c>
      <c r="E7" s="3">
        <v>2.2092926694696965E-4</v>
      </c>
      <c r="F7" s="3">
        <v>2.0051924372901432E-4</v>
      </c>
      <c r="G7" s="3">
        <v>1.8474217417326953E-4</v>
      </c>
      <c r="H7" s="3">
        <v>1.7148113885381315E-4</v>
      </c>
      <c r="I7" s="3">
        <v>1.5522984031257061E-4</v>
      </c>
      <c r="J7" s="3">
        <v>1.4444482648773264E-4</v>
      </c>
      <c r="K7" s="3">
        <v>1.2891010627471202E-4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/>
    </row>
    <row r="8" spans="1:55" x14ac:dyDescent="0.2">
      <c r="A8" s="4">
        <f>IF(SUM(B8:K8)=0,0.001,Model!A16)</f>
        <v>70</v>
      </c>
      <c r="B8" s="3">
        <v>2.4484118028180097E-4</v>
      </c>
      <c r="C8" s="3">
        <v>2.2286454067926972E-4</v>
      </c>
      <c r="D8" s="3">
        <v>2.0215132761771653E-4</v>
      </c>
      <c r="E8" s="3">
        <v>1.8148592331139606E-4</v>
      </c>
      <c r="F8" s="3">
        <v>1.7266169516754379E-4</v>
      </c>
      <c r="G8" s="3">
        <v>1.5611284859039034E-4</v>
      </c>
      <c r="H8" s="3">
        <v>1.403144660075531E-4</v>
      </c>
      <c r="I8" s="3">
        <v>1.2497494405546588E-4</v>
      </c>
      <c r="J8" s="3">
        <v>1.1207903875227622E-4</v>
      </c>
      <c r="K8" s="3">
        <v>9.4711175227183968E-5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/>
    </row>
    <row r="9" spans="1:55" x14ac:dyDescent="0.2">
      <c r="A9" s="4">
        <f>IF(SUM(B9:K9)=0,0.001,Model!A17)</f>
        <v>80</v>
      </c>
      <c r="B9" s="3">
        <v>2.152384598237556E-4</v>
      </c>
      <c r="C9" s="3">
        <v>1.9772625304922693E-4</v>
      </c>
      <c r="D9" s="3">
        <v>1.771847386783747E-4</v>
      </c>
      <c r="E9" s="3">
        <v>1.5836020767023224E-4</v>
      </c>
      <c r="F9" s="3">
        <v>1.4209862129460244E-4</v>
      </c>
      <c r="G9" s="3">
        <v>1.2865300425717678E-4</v>
      </c>
      <c r="H9" s="3">
        <v>1.1189158061728314E-4</v>
      </c>
      <c r="I9" s="3">
        <v>1.0150854617457064E-4</v>
      </c>
      <c r="J9" s="3">
        <v>8.2212148163720311E-5</v>
      </c>
      <c r="K9" s="3">
        <v>6.6878005496117388E-5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/>
    </row>
    <row r="10" spans="1:55" x14ac:dyDescent="0.2">
      <c r="A10" s="4">
        <f>IF(SUM(B10:K10)=0,0.001,Model!A18)</f>
        <v>90</v>
      </c>
      <c r="B10" s="3">
        <v>1.9241749150357846E-4</v>
      </c>
      <c r="C10" s="3">
        <v>1.7391823000043822E-4</v>
      </c>
      <c r="D10" s="3">
        <v>1.5420051274071865E-4</v>
      </c>
      <c r="E10" s="3">
        <v>1.3633570554656436E-4</v>
      </c>
      <c r="F10" s="3">
        <v>1.1847220247483993E-4</v>
      </c>
      <c r="G10" s="3">
        <v>1.0748090591193708E-4</v>
      </c>
      <c r="H10" s="3">
        <v>8.9917896064459991E-5</v>
      </c>
      <c r="I10" s="3">
        <v>7.3901667885230448E-5</v>
      </c>
      <c r="J10" s="3">
        <v>5.6769622490765638E-5</v>
      </c>
      <c r="K10" s="3">
        <v>4.2073236036295342E-5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/>
    </row>
    <row r="11" spans="1:55" x14ac:dyDescent="0.2">
      <c r="A11" s="4">
        <f>IF(SUM(B11:K11)=0,0.001,Model!A19)</f>
        <v>100</v>
      </c>
      <c r="B11" s="3">
        <v>1.7367065480691812E-4</v>
      </c>
      <c r="C11" s="3">
        <v>1.5466435017609249E-4</v>
      </c>
      <c r="D11" s="3">
        <v>1.3335103706141278E-4</v>
      </c>
      <c r="E11" s="3">
        <v>1.1513227499341431E-4</v>
      </c>
      <c r="F11" s="3">
        <v>9.9230981216050777E-5</v>
      </c>
      <c r="G11" s="3">
        <v>8.6397684311089571E-5</v>
      </c>
      <c r="H11" s="3">
        <v>6.5226097848862979E-5</v>
      </c>
      <c r="I11" s="3">
        <v>5.1616720226501216E-5</v>
      </c>
      <c r="J11" s="3">
        <v>3.8712349738715349E-5</v>
      </c>
      <c r="K11" s="3">
        <v>2.6150437080221488E-5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/>
    </row>
    <row r="12" spans="1:55" x14ac:dyDescent="0.2">
      <c r="A12" s="4">
        <f>IF(SUM(B12:K12)=0,0.001,Model!A20)</f>
        <v>120</v>
      </c>
      <c r="B12" s="3">
        <v>1.3902996394433891E-4</v>
      </c>
      <c r="C12" s="3">
        <v>1.1801265048538478E-4</v>
      </c>
      <c r="D12" s="3">
        <v>1.013539450058106E-4</v>
      </c>
      <c r="E12" s="3">
        <v>8.437434172792569E-5</v>
      </c>
      <c r="F12" s="3">
        <v>6.8164390687801982E-5</v>
      </c>
      <c r="G12" s="3">
        <v>4.67375077128358E-5</v>
      </c>
      <c r="H12" s="3">
        <v>3.4810345462189705E-5</v>
      </c>
      <c r="I12" s="3">
        <v>2.3222702022613827E-5</v>
      </c>
      <c r="J12" s="3">
        <v>1.6036316937770537E-5</v>
      </c>
      <c r="K12" s="3">
        <v>8.9796668335513101E-6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/>
    </row>
    <row r="13" spans="1:55" x14ac:dyDescent="0.2">
      <c r="A13" s="4">
        <f>IF(SUM(B13:K13)=0,0.001,Model!A21)</f>
        <v>140</v>
      </c>
      <c r="B13" s="3">
        <v>1.1152140980029031E-4</v>
      </c>
      <c r="C13" s="3">
        <v>9.192335815906448E-5</v>
      </c>
      <c r="D13" s="3">
        <v>7.5385153639744709E-5</v>
      </c>
      <c r="E13" s="3">
        <v>5.7563095709481767E-5</v>
      </c>
      <c r="F13" s="3">
        <v>3.8088246370199163E-5</v>
      </c>
      <c r="G13" s="3">
        <v>2.5462462367301948E-5</v>
      </c>
      <c r="H13" s="3">
        <v>1.5994732057695977E-5</v>
      </c>
      <c r="I13" s="3">
        <v>1.0020399710521725E-5</v>
      </c>
      <c r="J13" s="3">
        <v>5.8088042901498591E-6</v>
      </c>
      <c r="K13" s="3">
        <v>2.973891990661955E-6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/>
    </row>
    <row r="14" spans="1:55" x14ac:dyDescent="0.2">
      <c r="A14" s="4">
        <f>IF(SUM(B14:K14)=0,0.001,Model!A22)</f>
        <v>160</v>
      </c>
      <c r="B14" s="3">
        <v>8.8225367499610743E-5</v>
      </c>
      <c r="C14" s="3">
        <v>7.5321187217625103E-5</v>
      </c>
      <c r="D14" s="3">
        <v>5.1743208667221722E-5</v>
      </c>
      <c r="E14" s="3">
        <v>3.7527729474666553E-5</v>
      </c>
      <c r="F14" s="3">
        <v>2.1771411905202199E-5</v>
      </c>
      <c r="G14" s="3">
        <v>1.2266766748176529E-5</v>
      </c>
      <c r="H14" s="3">
        <v>7.1393098203859294E-6</v>
      </c>
      <c r="I14" s="3">
        <v>4.2701779078698095E-6</v>
      </c>
      <c r="J14" s="3">
        <v>2.1746615691284034E-6</v>
      </c>
      <c r="K14" s="3">
        <v>1.2121023751468434E-6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/>
    </row>
    <row r="15" spans="1:55" x14ac:dyDescent="0.2">
      <c r="A15" s="4">
        <f>IF(SUM(B15:K15)=0,0.001,Model!A23)</f>
        <v>180</v>
      </c>
      <c r="B15" s="3">
        <v>7.4822713743743385E-5</v>
      </c>
      <c r="C15" s="3">
        <v>5.6571713418874619E-5</v>
      </c>
      <c r="D15" s="3">
        <v>3.7033695481071519E-5</v>
      </c>
      <c r="E15" s="3">
        <v>2.0013704278904919E-5</v>
      </c>
      <c r="F15" s="3">
        <v>1.203417513773058E-5</v>
      </c>
      <c r="G15" s="3">
        <v>6.0792789209076951E-6</v>
      </c>
      <c r="H15" s="3">
        <v>2.973891990661955E-6</v>
      </c>
      <c r="I15" s="3">
        <v>1.5529335431345343E-6</v>
      </c>
      <c r="J15" s="3">
        <v>7.3394640754582048E-7</v>
      </c>
      <c r="K15" s="3">
        <v>4.5091606068568219E-7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/>
    </row>
    <row r="16" spans="1:55" x14ac:dyDescent="0.2">
      <c r="A16" s="4">
        <f>IF(SUM(B16:K16)=0,0.001,Model!A24)</f>
        <v>200</v>
      </c>
      <c r="B16" s="3">
        <v>6.2739492246706406E-5</v>
      </c>
      <c r="C16" s="3">
        <v>3.7078598316218652E-5</v>
      </c>
      <c r="D16" s="3">
        <v>2.220938084949703E-5</v>
      </c>
      <c r="E16" s="3">
        <v>1.2266766748176529E-5</v>
      </c>
      <c r="F16" s="3">
        <v>5.8635591463850026E-6</v>
      </c>
      <c r="G16" s="3">
        <v>2.973891990661955E-6</v>
      </c>
      <c r="H16" s="3">
        <v>1.4840042474264353E-6</v>
      </c>
      <c r="I16" s="3">
        <v>6.9218803541346455E-7</v>
      </c>
      <c r="J16" s="3">
        <v>4.06890561692486E-7</v>
      </c>
      <c r="K16" s="3">
        <v>1.2604719256101414E-7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/>
    </row>
    <row r="17" spans="1:52" x14ac:dyDescent="0.2">
      <c r="A17" s="4">
        <f>IF(SUM(B17:K17)=0,0.001,Model!A25)</f>
        <v>220</v>
      </c>
      <c r="B17" s="3">
        <v>4.6236047022885378E-5</v>
      </c>
      <c r="C17" s="3">
        <v>2.5448569901698933E-5</v>
      </c>
      <c r="D17" s="3">
        <v>1.3688374071408525E-5</v>
      </c>
      <c r="E17" s="3">
        <v>6.320577377032408E-6</v>
      </c>
      <c r="F17" s="3">
        <v>2.973891990661955E-6</v>
      </c>
      <c r="G17" s="3">
        <v>1.5529335431345343E-6</v>
      </c>
      <c r="H17" s="3">
        <v>6.9218803541346455E-7</v>
      </c>
      <c r="I17" s="3">
        <v>3.6087173978975672E-7</v>
      </c>
      <c r="J17" s="3">
        <v>6.0998954100890764E-8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/>
    </row>
    <row r="18" spans="1:52" x14ac:dyDescent="0.2">
      <c r="A18" s="4">
        <f>IF(SUM(B18:K18)=0,0.001,Model!A26)</f>
        <v>240</v>
      </c>
      <c r="B18" s="3">
        <v>3.2474987151303667E-5</v>
      </c>
      <c r="C18" s="3">
        <v>1.6186308108791448E-5</v>
      </c>
      <c r="D18" s="3">
        <v>8.5396321931683772E-6</v>
      </c>
      <c r="E18" s="3">
        <v>3.9730623666907132E-6</v>
      </c>
      <c r="F18" s="3">
        <v>1.5529335431345343E-6</v>
      </c>
      <c r="G18" s="3">
        <v>6.9218803541346455E-7</v>
      </c>
      <c r="H18" s="3">
        <v>3.6087173978975672E-7</v>
      </c>
      <c r="I18" s="3">
        <v>6.0998954100890764E-8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/>
    </row>
    <row r="19" spans="1:52" x14ac:dyDescent="0.2">
      <c r="A19" s="4">
        <f>IF(SUM(B19:K19)=0,0.001,Model!A27)</f>
        <v>260</v>
      </c>
      <c r="B19" s="3">
        <v>2.2962162925791292E-5</v>
      </c>
      <c r="C19" s="3">
        <v>1.1571935703874402E-5</v>
      </c>
      <c r="D19" s="3">
        <v>5.2483756383927289E-6</v>
      </c>
      <c r="E19" s="3">
        <v>2.1746615691284034E-6</v>
      </c>
      <c r="F19" s="3">
        <v>8.1583852089529324E-7</v>
      </c>
      <c r="G19" s="3">
        <v>4.06890561692486E-7</v>
      </c>
      <c r="H19" s="3">
        <v>1.2604719256101414E-7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/>
    </row>
    <row r="20" spans="1:52" x14ac:dyDescent="0.2">
      <c r="A20" s="4">
        <f>IF(SUM(B20:K20)=0,0.001,Model!A28)</f>
        <v>280</v>
      </c>
      <c r="B20" s="3">
        <v>1.5658167118663798E-5</v>
      </c>
      <c r="C20" s="3">
        <v>7.6798040545086215E-6</v>
      </c>
      <c r="D20" s="3">
        <v>2.973891990661955E-6</v>
      </c>
      <c r="E20" s="3">
        <v>1.2121023751468434E-6</v>
      </c>
      <c r="F20" s="3">
        <v>5.1377627743396937E-7</v>
      </c>
      <c r="G20" s="3">
        <v>1.2604719256101414E-7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/>
    </row>
    <row r="21" spans="1:52" x14ac:dyDescent="0.2">
      <c r="A21" s="4">
        <f>IF(SUM(B21:K21)=0,0.001,Model!A29)</f>
        <v>300</v>
      </c>
      <c r="B21" s="3">
        <v>1.2050089875960876E-5</v>
      </c>
      <c r="C21" s="3">
        <v>4.6906013142232507E-6</v>
      </c>
      <c r="D21" s="3">
        <v>2.0316600017222045E-6</v>
      </c>
      <c r="E21" s="3">
        <v>6.9218803541346455E-7</v>
      </c>
      <c r="F21" s="3">
        <v>2.7546110124668901E-7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/>
    </row>
    <row r="22" spans="1:52" x14ac:dyDescent="0.2">
      <c r="A22" s="4">
        <f>IF(SUM(B22:K22)=0,0.001,Model!A30)</f>
        <v>320</v>
      </c>
      <c r="B22" s="3">
        <v>8.4001379633529824E-6</v>
      </c>
      <c r="C22" s="3">
        <v>2.973891990661955E-6</v>
      </c>
      <c r="D22" s="3">
        <v>1.0496546589161787E-6</v>
      </c>
      <c r="E22" s="3">
        <v>4.06890561692486E-7</v>
      </c>
      <c r="F22" s="3">
        <v>6.0998954100890764E-8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/>
    </row>
    <row r="23" spans="1:52" x14ac:dyDescent="0.2">
      <c r="A23" s="4">
        <f>IF(SUM(B23:K23)=0,0.001,Model!A31)</f>
        <v>340</v>
      </c>
      <c r="B23" s="3">
        <v>5.7341214327319869E-6</v>
      </c>
      <c r="C23" s="3">
        <v>2.1746615691284034E-6</v>
      </c>
      <c r="D23" s="3">
        <v>6.9218803541346455E-7</v>
      </c>
      <c r="E23" s="3">
        <v>2.7546110124668901E-7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/>
    </row>
    <row r="24" spans="1:52" x14ac:dyDescent="0.2">
      <c r="A24" s="4">
        <f>IF(SUM(B24:K24)=0,0.001,Model!A32)</f>
        <v>360</v>
      </c>
      <c r="B24" s="3">
        <v>3.9730623666907132E-6</v>
      </c>
      <c r="C24" s="3">
        <v>1.4840042474264353E-6</v>
      </c>
      <c r="D24" s="3">
        <v>4.06890561692486E-7</v>
      </c>
      <c r="E24" s="3">
        <v>6.0998954100890764E-8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/>
    </row>
    <row r="25" spans="1:52" x14ac:dyDescent="0.2">
      <c r="A25" s="4">
        <f>IF(SUM(B25:K25)=0,0.001,Model!A33)</f>
        <v>380</v>
      </c>
      <c r="B25" s="3">
        <v>2.7951304815349933E-6</v>
      </c>
      <c r="C25" s="3">
        <v>7.3394640754582048E-7</v>
      </c>
      <c r="D25" s="3">
        <v>2.7546110124668901E-7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/>
    </row>
    <row r="26" spans="1:52" x14ac:dyDescent="0.2">
      <c r="A26" s="4">
        <f>IF(SUM(B26:K26)=0,0.001,Model!A34)</f>
        <v>400</v>
      </c>
      <c r="B26" s="3">
        <v>1.9785492771517702E-6</v>
      </c>
      <c r="C26" s="3">
        <v>5.1377627743396937E-7</v>
      </c>
      <c r="D26" s="3">
        <v>1.2604719256101414E-7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/>
    </row>
    <row r="27" spans="1:52" x14ac:dyDescent="0.2">
      <c r="A27" s="4">
        <f>IF(SUM(B27:K27)=0,0.001,Model!A35)</f>
        <v>420</v>
      </c>
      <c r="B27" s="3">
        <v>1.4840042474264353E-6</v>
      </c>
      <c r="C27" s="3">
        <v>4.06890561692486E-7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/>
    </row>
    <row r="28" spans="1:52" x14ac:dyDescent="0.2">
      <c r="A28" s="4">
        <f>IF(SUM(B28:K28)=0,0.001,Model!A36)</f>
        <v>440</v>
      </c>
      <c r="B28" s="3">
        <v>8.1583852089529324E-7</v>
      </c>
      <c r="C28" s="3">
        <v>2.7546110124668901E-7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/>
    </row>
    <row r="29" spans="1:52" x14ac:dyDescent="0.2">
      <c r="A29" s="4">
        <f>IF(SUM(B29:K29)=0,0.001,Model!A37)</f>
        <v>460</v>
      </c>
      <c r="B29" s="3">
        <v>5.4627852693280328E-7</v>
      </c>
      <c r="C29" s="3">
        <v>1.2604719256101414E-7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  <c r="AI29" s="3">
        <v>0</v>
      </c>
      <c r="AJ29" s="3">
        <v>0</v>
      </c>
      <c r="AK29" s="3">
        <v>0</v>
      </c>
      <c r="AL29" s="3">
        <v>0</v>
      </c>
      <c r="AM29" s="3">
        <v>0</v>
      </c>
      <c r="AN29" s="3">
        <v>0</v>
      </c>
      <c r="AO29" s="3">
        <v>0</v>
      </c>
      <c r="AP29" s="3">
        <v>0</v>
      </c>
      <c r="AQ29" s="3">
        <v>0</v>
      </c>
      <c r="AR29" s="3">
        <v>0</v>
      </c>
      <c r="AS29" s="3">
        <v>0</v>
      </c>
      <c r="AT29" s="3">
        <v>0</v>
      </c>
      <c r="AU29" s="3">
        <v>0</v>
      </c>
      <c r="AV29" s="3">
        <v>0</v>
      </c>
      <c r="AW29" s="3">
        <v>0</v>
      </c>
      <c r="AX29" s="3">
        <v>0</v>
      </c>
      <c r="AY29" s="3">
        <v>0</v>
      </c>
      <c r="AZ29" s="3"/>
    </row>
    <row r="30" spans="1:52" x14ac:dyDescent="0.2">
      <c r="A30" s="4">
        <f>IF(SUM(B30:K30)=0,0.001,Model!A38)</f>
        <v>480</v>
      </c>
      <c r="B30" s="3">
        <v>4.06890561692486E-7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0</v>
      </c>
      <c r="AM30" s="3">
        <v>0</v>
      </c>
      <c r="AN30" s="3">
        <v>0</v>
      </c>
      <c r="AO30" s="3">
        <v>0</v>
      </c>
      <c r="AP30" s="3">
        <v>0</v>
      </c>
      <c r="AQ30" s="3">
        <v>0</v>
      </c>
      <c r="AR30" s="3">
        <v>0</v>
      </c>
      <c r="AS30" s="3">
        <v>0</v>
      </c>
      <c r="AT30" s="3">
        <v>0</v>
      </c>
      <c r="AU30" s="3">
        <v>0</v>
      </c>
      <c r="AV30" s="3">
        <v>0</v>
      </c>
      <c r="AW30" s="3">
        <v>0</v>
      </c>
      <c r="AX30" s="3">
        <v>0</v>
      </c>
      <c r="AY30" s="3">
        <v>0</v>
      </c>
      <c r="AZ30" s="3"/>
    </row>
    <row r="31" spans="1:52" x14ac:dyDescent="0.2">
      <c r="A31" s="4">
        <f>IF(SUM(B31:K31)=0,0.001,Model!A39)</f>
        <v>500</v>
      </c>
      <c r="B31" s="3">
        <v>3.6087173978975672E-7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0</v>
      </c>
      <c r="AO31" s="3">
        <v>0</v>
      </c>
      <c r="AP31" s="3">
        <v>0</v>
      </c>
      <c r="AQ31" s="3">
        <v>0</v>
      </c>
      <c r="AR31" s="3">
        <v>0</v>
      </c>
      <c r="AS31" s="3">
        <v>0</v>
      </c>
      <c r="AT31" s="3">
        <v>0</v>
      </c>
      <c r="AU31" s="3">
        <v>0</v>
      </c>
      <c r="AV31" s="3">
        <v>0</v>
      </c>
      <c r="AW31" s="3">
        <v>0</v>
      </c>
      <c r="AX31" s="3">
        <v>0</v>
      </c>
      <c r="AY31" s="3">
        <v>0</v>
      </c>
      <c r="AZ31" s="3"/>
    </row>
    <row r="32" spans="1:52" x14ac:dyDescent="0.2">
      <c r="A32" s="4">
        <f>IF(SUM(B32:K32)=0,0.001,Model!A40)</f>
        <v>550</v>
      </c>
      <c r="B32" s="3">
        <v>6.0998954100890764E-8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  <c r="AI32" s="3">
        <v>0</v>
      </c>
      <c r="AJ32" s="3">
        <v>0</v>
      </c>
      <c r="AK32" s="3">
        <v>0</v>
      </c>
      <c r="AL32" s="3">
        <v>0</v>
      </c>
      <c r="AM32" s="3">
        <v>0</v>
      </c>
      <c r="AN32" s="3">
        <v>0</v>
      </c>
      <c r="AO32" s="3">
        <v>0</v>
      </c>
      <c r="AP32" s="3">
        <v>0</v>
      </c>
      <c r="AQ32" s="3">
        <v>0</v>
      </c>
      <c r="AR32" s="3">
        <v>0</v>
      </c>
      <c r="AS32" s="3">
        <v>0</v>
      </c>
      <c r="AT32" s="3">
        <v>0</v>
      </c>
      <c r="AU32" s="3">
        <v>0</v>
      </c>
      <c r="AV32" s="3">
        <v>0</v>
      </c>
      <c r="AW32" s="3">
        <v>0</v>
      </c>
      <c r="AX32" s="3">
        <v>0</v>
      </c>
      <c r="AY32" s="3">
        <v>0</v>
      </c>
      <c r="AZ32" s="3"/>
    </row>
    <row r="33" spans="1:52" x14ac:dyDescent="0.2">
      <c r="A33" s="4">
        <f>IF(SUM(B33:K33)=0,0.001,Model!A41)</f>
        <v>1E-3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</v>
      </c>
      <c r="AM33" s="3">
        <v>0</v>
      </c>
      <c r="AN33" s="3">
        <v>0</v>
      </c>
      <c r="AO33" s="3">
        <v>0</v>
      </c>
      <c r="AP33" s="3">
        <v>0</v>
      </c>
      <c r="AQ33" s="3">
        <v>0</v>
      </c>
      <c r="AR33" s="3">
        <v>0</v>
      </c>
      <c r="AS33" s="3">
        <v>0</v>
      </c>
      <c r="AT33" s="3">
        <v>0</v>
      </c>
      <c r="AU33" s="3">
        <v>0</v>
      </c>
      <c r="AV33" s="3">
        <v>0</v>
      </c>
      <c r="AW33" s="3">
        <v>0</v>
      </c>
      <c r="AX33" s="3">
        <v>0</v>
      </c>
      <c r="AY33" s="3">
        <v>0</v>
      </c>
      <c r="AZ33" s="3"/>
    </row>
    <row r="34" spans="1:52" x14ac:dyDescent="0.2">
      <c r="A34" s="4">
        <f>IF(SUM(B34:K34)=0,0.001,Model!A42)</f>
        <v>1E-3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0</v>
      </c>
      <c r="AQ34" s="3">
        <v>0</v>
      </c>
      <c r="AR34" s="3">
        <v>0</v>
      </c>
      <c r="AS34" s="3">
        <v>0</v>
      </c>
      <c r="AT34" s="3">
        <v>0</v>
      </c>
      <c r="AU34" s="3">
        <v>0</v>
      </c>
      <c r="AV34" s="3">
        <v>0</v>
      </c>
      <c r="AW34" s="3">
        <v>0</v>
      </c>
      <c r="AX34" s="3">
        <v>0</v>
      </c>
      <c r="AY34" s="3">
        <v>0</v>
      </c>
      <c r="AZ34" s="3"/>
    </row>
    <row r="35" spans="1:52" x14ac:dyDescent="0.2">
      <c r="A35" s="4">
        <f>IF(SUM(B35:K35)=0,0.001,Model!A43)</f>
        <v>1E-3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3">
        <v>0</v>
      </c>
      <c r="AU35" s="3">
        <v>0</v>
      </c>
      <c r="AV35" s="3">
        <v>0</v>
      </c>
      <c r="AW35" s="3">
        <v>0</v>
      </c>
      <c r="AX35" s="3">
        <v>0</v>
      </c>
      <c r="AY35" s="3">
        <v>0</v>
      </c>
      <c r="AZ35" s="3"/>
    </row>
    <row r="36" spans="1:52" x14ac:dyDescent="0.2">
      <c r="A36" s="4">
        <f>IF(SUM(B36:K36)=0,0.001,Model!A44)</f>
        <v>1E-3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/>
    </row>
    <row r="37" spans="1:52" x14ac:dyDescent="0.2">
      <c r="A37" s="4">
        <f>IF(SUM(B37:K37)=0,0.001,Model!A45)</f>
        <v>1E-3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0</v>
      </c>
      <c r="AQ37" s="3">
        <v>0</v>
      </c>
      <c r="AR37" s="3">
        <v>0</v>
      </c>
      <c r="AS37" s="3">
        <v>0</v>
      </c>
      <c r="AT37" s="3">
        <v>0</v>
      </c>
      <c r="AU37" s="3">
        <v>0</v>
      </c>
      <c r="AV37" s="3">
        <v>0</v>
      </c>
      <c r="AW37" s="3">
        <v>0</v>
      </c>
      <c r="AX37" s="3">
        <v>0</v>
      </c>
      <c r="AY37" s="3">
        <v>0</v>
      </c>
      <c r="AZ37" s="3"/>
    </row>
    <row r="38" spans="1:52" x14ac:dyDescent="0.2">
      <c r="A38" s="4">
        <f>IF(SUM(B38:K38)=0,0.001,Model!A46)</f>
        <v>1E-3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0</v>
      </c>
      <c r="AI38" s="3">
        <v>0</v>
      </c>
      <c r="AJ38" s="3">
        <v>0</v>
      </c>
      <c r="AK38" s="3">
        <v>0</v>
      </c>
      <c r="AL38" s="3">
        <v>0</v>
      </c>
      <c r="AM38" s="3">
        <v>0</v>
      </c>
      <c r="AN38" s="3">
        <v>0</v>
      </c>
      <c r="AO38" s="3">
        <v>0</v>
      </c>
      <c r="AP38" s="3">
        <v>0</v>
      </c>
      <c r="AQ38" s="3">
        <v>0</v>
      </c>
      <c r="AR38" s="3">
        <v>0</v>
      </c>
      <c r="AS38" s="3">
        <v>0</v>
      </c>
      <c r="AT38" s="3">
        <v>0</v>
      </c>
      <c r="AU38" s="3">
        <v>0</v>
      </c>
      <c r="AV38" s="3">
        <v>0</v>
      </c>
      <c r="AW38" s="3">
        <v>0</v>
      </c>
      <c r="AX38" s="3">
        <v>0</v>
      </c>
      <c r="AY38" s="3">
        <v>0</v>
      </c>
      <c r="AZ38" s="3"/>
    </row>
    <row r="39" spans="1:52" x14ac:dyDescent="0.2">
      <c r="A39" s="4">
        <f>IF(SUM(B39:K39)=0,0.001,Model!A47)</f>
        <v>1E-3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  <c r="AH39" s="3">
        <v>0</v>
      </c>
      <c r="AI39" s="3">
        <v>0</v>
      </c>
      <c r="AJ39" s="3">
        <v>0</v>
      </c>
      <c r="AK39" s="3">
        <v>0</v>
      </c>
      <c r="AL39" s="3">
        <v>0</v>
      </c>
      <c r="AM39" s="3">
        <v>0</v>
      </c>
      <c r="AN39" s="3">
        <v>0</v>
      </c>
      <c r="AO39" s="3">
        <v>0</v>
      </c>
      <c r="AP39" s="3">
        <v>0</v>
      </c>
      <c r="AQ39" s="3">
        <v>0</v>
      </c>
      <c r="AR39" s="3">
        <v>0</v>
      </c>
      <c r="AS39" s="3">
        <v>0</v>
      </c>
      <c r="AT39" s="3">
        <v>0</v>
      </c>
      <c r="AU39" s="3">
        <v>0</v>
      </c>
      <c r="AV39" s="3">
        <v>0</v>
      </c>
      <c r="AW39" s="3">
        <v>0</v>
      </c>
      <c r="AX39" s="3">
        <v>0</v>
      </c>
      <c r="AY39" s="3">
        <v>0</v>
      </c>
      <c r="AZ39" s="3"/>
    </row>
    <row r="40" spans="1:52" x14ac:dyDescent="0.2">
      <c r="A40" s="4">
        <f>IF(SUM(B40:K40)=0,0.001,Model!A48)</f>
        <v>1E-3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3">
        <v>0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0</v>
      </c>
      <c r="AU40" s="3">
        <v>0</v>
      </c>
      <c r="AV40" s="3">
        <v>0</v>
      </c>
      <c r="AW40" s="3">
        <v>0</v>
      </c>
      <c r="AX40" s="3">
        <v>0</v>
      </c>
      <c r="AY40" s="3">
        <v>0</v>
      </c>
      <c r="AZ40" s="3"/>
    </row>
    <row r="41" spans="1:52" x14ac:dyDescent="0.2">
      <c r="A41" s="4">
        <f>IF(SUM(B41:K41)=0,0.001,Model!A49)</f>
        <v>1E-3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3">
        <v>0</v>
      </c>
      <c r="AI41" s="3">
        <v>0</v>
      </c>
      <c r="AJ41" s="3">
        <v>0</v>
      </c>
      <c r="AK41" s="3">
        <v>0</v>
      </c>
      <c r="AL41" s="3">
        <v>0</v>
      </c>
      <c r="AM41" s="3">
        <v>0</v>
      </c>
      <c r="AN41" s="3">
        <v>0</v>
      </c>
      <c r="AO41" s="3">
        <v>0</v>
      </c>
      <c r="AP41" s="3">
        <v>0</v>
      </c>
      <c r="AQ41" s="3">
        <v>0</v>
      </c>
      <c r="AR41" s="3">
        <v>0</v>
      </c>
      <c r="AS41" s="3">
        <v>0</v>
      </c>
      <c r="AT41" s="3">
        <v>0</v>
      </c>
      <c r="AU41" s="3">
        <v>0</v>
      </c>
      <c r="AV41" s="3">
        <v>0</v>
      </c>
      <c r="AW41" s="3">
        <v>0</v>
      </c>
      <c r="AX41" s="3">
        <v>0</v>
      </c>
      <c r="AY41" s="3">
        <v>0</v>
      </c>
      <c r="AZ41" s="3"/>
    </row>
    <row r="42" spans="1:52" x14ac:dyDescent="0.2">
      <c r="A42" s="4">
        <f>IF(SUM(B42:K42)=0,0.001,Model!A50)</f>
        <v>1E-3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0</v>
      </c>
      <c r="AI42" s="3">
        <v>0</v>
      </c>
      <c r="AJ42" s="3">
        <v>0</v>
      </c>
      <c r="AK42" s="3">
        <v>0</v>
      </c>
      <c r="AL42" s="3">
        <v>0</v>
      </c>
      <c r="AM42" s="3">
        <v>0</v>
      </c>
      <c r="AN42" s="3">
        <v>0</v>
      </c>
      <c r="AO42" s="3">
        <v>0</v>
      </c>
      <c r="AP42" s="3">
        <v>0</v>
      </c>
      <c r="AQ42" s="3">
        <v>0</v>
      </c>
      <c r="AR42" s="3">
        <v>0</v>
      </c>
      <c r="AS42" s="3">
        <v>0</v>
      </c>
      <c r="AT42" s="3">
        <v>0</v>
      </c>
      <c r="AU42" s="3">
        <v>0</v>
      </c>
      <c r="AV42" s="3">
        <v>0</v>
      </c>
      <c r="AW42" s="3">
        <v>0</v>
      </c>
      <c r="AX42" s="3">
        <v>0</v>
      </c>
      <c r="AY42" s="3">
        <v>0</v>
      </c>
      <c r="AZ42" s="3"/>
    </row>
    <row r="43" spans="1:52" x14ac:dyDescent="0.2">
      <c r="A43" s="4">
        <f>IF(SUM(B43:K43)=0,0.001,Model!A51)</f>
        <v>1E-3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3">
        <v>0</v>
      </c>
      <c r="AJ43" s="3">
        <v>0</v>
      </c>
      <c r="AK43" s="3">
        <v>0</v>
      </c>
      <c r="AL43" s="3">
        <v>0</v>
      </c>
      <c r="AM43" s="3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3">
        <v>0</v>
      </c>
      <c r="AU43" s="3">
        <v>0</v>
      </c>
      <c r="AV43" s="3">
        <v>0</v>
      </c>
      <c r="AW43" s="3">
        <v>0</v>
      </c>
      <c r="AX43" s="3">
        <v>0</v>
      </c>
      <c r="AY43" s="3">
        <v>0</v>
      </c>
      <c r="AZ43" s="3"/>
    </row>
    <row r="44" spans="1:52" x14ac:dyDescent="0.2">
      <c r="A44" s="4">
        <f>IF(SUM(B44:K44)=0,0.001,Model!A52)</f>
        <v>1E-3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/>
    </row>
    <row r="45" spans="1:52" x14ac:dyDescent="0.2">
      <c r="A45" s="4">
        <f>IF(SUM(B45:K45)=0,0.001,Model!A53)</f>
        <v>1E-3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  <c r="AX45" s="3">
        <v>0</v>
      </c>
      <c r="AY45" s="3">
        <v>0</v>
      </c>
      <c r="AZ45" s="3"/>
    </row>
    <row r="46" spans="1:52" x14ac:dyDescent="0.2">
      <c r="A46" s="4">
        <f>IF(SUM(B46:K46)=0,0.001,Model!A54)</f>
        <v>1E-3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/>
    </row>
    <row r="47" spans="1:52" x14ac:dyDescent="0.2">
      <c r="A47" s="4">
        <f>IF(SUM(B47:K47)=0,0.001,Model!A55)</f>
        <v>1E-3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0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 s="3">
        <v>0</v>
      </c>
      <c r="AJ47" s="3">
        <v>0</v>
      </c>
      <c r="AK47" s="3">
        <v>0</v>
      </c>
      <c r="AL47" s="3">
        <v>0</v>
      </c>
      <c r="AM47" s="3">
        <v>0</v>
      </c>
      <c r="AN47" s="3">
        <v>0</v>
      </c>
      <c r="AO47" s="3">
        <v>0</v>
      </c>
      <c r="AP47" s="3">
        <v>0</v>
      </c>
      <c r="AQ47" s="3">
        <v>0</v>
      </c>
      <c r="AR47" s="3">
        <v>0</v>
      </c>
      <c r="AS47" s="3">
        <v>0</v>
      </c>
      <c r="AT47" s="3">
        <v>0</v>
      </c>
      <c r="AU47" s="3">
        <v>0</v>
      </c>
      <c r="AV47" s="3">
        <v>0</v>
      </c>
      <c r="AW47" s="3">
        <v>0</v>
      </c>
      <c r="AX47" s="3">
        <v>0</v>
      </c>
      <c r="AY47" s="3">
        <v>0</v>
      </c>
      <c r="AZ47" s="3"/>
    </row>
    <row r="48" spans="1:52" x14ac:dyDescent="0.2">
      <c r="A48" s="4">
        <f>IF(SUM(B48:K48)=0,0.001,Model!A56)</f>
        <v>1E-3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v>0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3">
        <v>0</v>
      </c>
      <c r="AJ48" s="3">
        <v>0</v>
      </c>
      <c r="AK48" s="3">
        <v>0</v>
      </c>
      <c r="AL48" s="3">
        <v>0</v>
      </c>
      <c r="AM48" s="3">
        <v>0</v>
      </c>
      <c r="AN48" s="3">
        <v>0</v>
      </c>
      <c r="AO48" s="3">
        <v>0</v>
      </c>
      <c r="AP48" s="3">
        <v>0</v>
      </c>
      <c r="AQ48" s="3">
        <v>0</v>
      </c>
      <c r="AR48" s="3">
        <v>0</v>
      </c>
      <c r="AS48" s="3">
        <v>0</v>
      </c>
      <c r="AT48" s="3">
        <v>0</v>
      </c>
      <c r="AU48" s="3">
        <v>0</v>
      </c>
      <c r="AV48" s="3">
        <v>0</v>
      </c>
      <c r="AW48" s="3">
        <v>0</v>
      </c>
      <c r="AX48" s="3">
        <v>0</v>
      </c>
      <c r="AY48" s="3">
        <v>0</v>
      </c>
      <c r="AZ48" s="3"/>
    </row>
    <row r="49" spans="1:52" x14ac:dyDescent="0.2">
      <c r="A49" s="4">
        <f>IF(SUM(B49:K49)=0,0.001,Model!A57)</f>
        <v>1E-3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3">
        <v>0</v>
      </c>
      <c r="AC49" s="3">
        <v>0</v>
      </c>
      <c r="AD49" s="3">
        <v>0</v>
      </c>
      <c r="AE49" s="3">
        <v>0</v>
      </c>
      <c r="AF49" s="3">
        <v>0</v>
      </c>
      <c r="AG49" s="3">
        <v>0</v>
      </c>
      <c r="AH49" s="3">
        <v>0</v>
      </c>
      <c r="AI49" s="3">
        <v>0</v>
      </c>
      <c r="AJ49" s="3">
        <v>0</v>
      </c>
      <c r="AK49" s="3">
        <v>0</v>
      </c>
      <c r="AL49" s="3">
        <v>0</v>
      </c>
      <c r="AM49" s="3">
        <v>0</v>
      </c>
      <c r="AN49" s="3">
        <v>0</v>
      </c>
      <c r="AO49" s="3">
        <v>0</v>
      </c>
      <c r="AP49" s="3">
        <v>0</v>
      </c>
      <c r="AQ49" s="3">
        <v>0</v>
      </c>
      <c r="AR49" s="3">
        <v>0</v>
      </c>
      <c r="AS49" s="3">
        <v>0</v>
      </c>
      <c r="AT49" s="3">
        <v>0</v>
      </c>
      <c r="AU49" s="3">
        <v>0</v>
      </c>
      <c r="AV49" s="3">
        <v>0</v>
      </c>
      <c r="AW49" s="3">
        <v>0</v>
      </c>
      <c r="AX49" s="3">
        <v>0</v>
      </c>
      <c r="AY49" s="3">
        <v>0</v>
      </c>
      <c r="AZ49" s="3"/>
    </row>
    <row r="50" spans="1:52" x14ac:dyDescent="0.2">
      <c r="A50" s="4">
        <f>IF(SUM(B50:K50)=0,0.001,Model!A58)</f>
        <v>1E-3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v>0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0</v>
      </c>
      <c r="AI50" s="3">
        <v>0</v>
      </c>
      <c r="AJ50" s="3">
        <v>0</v>
      </c>
      <c r="AK50" s="3">
        <v>0</v>
      </c>
      <c r="AL50" s="3">
        <v>0</v>
      </c>
      <c r="AM50" s="3">
        <v>0</v>
      </c>
      <c r="AN50" s="3">
        <v>0</v>
      </c>
      <c r="AO50" s="3">
        <v>0</v>
      </c>
      <c r="AP50" s="3">
        <v>0</v>
      </c>
      <c r="AQ50" s="3">
        <v>0</v>
      </c>
      <c r="AR50" s="3">
        <v>0</v>
      </c>
      <c r="AS50" s="3">
        <v>0</v>
      </c>
      <c r="AT50" s="3">
        <v>0</v>
      </c>
      <c r="AU50" s="3">
        <v>0</v>
      </c>
      <c r="AV50" s="3">
        <v>0</v>
      </c>
      <c r="AW50" s="3">
        <v>0</v>
      </c>
      <c r="AX50" s="3">
        <v>0</v>
      </c>
      <c r="AY50" s="3">
        <v>0</v>
      </c>
      <c r="AZ50" s="3"/>
    </row>
    <row r="51" spans="1:52" x14ac:dyDescent="0.2">
      <c r="A51" s="4">
        <f>IF(SUM(B51:K51)=0,0.001,Model!A59)</f>
        <v>1E-3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0</v>
      </c>
      <c r="AI51" s="3">
        <v>0</v>
      </c>
      <c r="AJ51" s="3">
        <v>0</v>
      </c>
      <c r="AK51" s="3">
        <v>0</v>
      </c>
      <c r="AL51" s="3">
        <v>0</v>
      </c>
      <c r="AM51" s="3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3">
        <v>0</v>
      </c>
      <c r="AU51" s="3">
        <v>0</v>
      </c>
      <c r="AV51" s="3">
        <v>0</v>
      </c>
      <c r="AW51" s="3">
        <v>0</v>
      </c>
      <c r="AX51" s="3">
        <v>0</v>
      </c>
      <c r="AY51" s="3">
        <v>0</v>
      </c>
      <c r="AZ51" s="3"/>
    </row>
    <row r="52" spans="1:52" x14ac:dyDescent="0.2">
      <c r="A52" s="4">
        <f>IF(SUM(B52:K52)=0,0.001,Model!A60)</f>
        <v>1E-3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/>
    </row>
    <row r="53" spans="1:52" x14ac:dyDescent="0.2">
      <c r="A53" s="4">
        <f>IF(SUM(B53:K53)=0,0.001,Model!A61)</f>
        <v>1E-3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3">
        <v>0</v>
      </c>
      <c r="AE53" s="3">
        <v>0</v>
      </c>
      <c r="AF53" s="3">
        <v>0</v>
      </c>
      <c r="AG53" s="3">
        <v>0</v>
      </c>
      <c r="AH53" s="3">
        <v>0</v>
      </c>
      <c r="AI53" s="3">
        <v>0</v>
      </c>
      <c r="AJ53" s="3">
        <v>0</v>
      </c>
      <c r="AK53" s="3">
        <v>0</v>
      </c>
      <c r="AL53" s="3">
        <v>0</v>
      </c>
      <c r="AM53" s="3">
        <v>0</v>
      </c>
      <c r="AN53" s="3">
        <v>0</v>
      </c>
      <c r="AO53" s="3">
        <v>0</v>
      </c>
      <c r="AP53" s="3">
        <v>0</v>
      </c>
      <c r="AQ53" s="3">
        <v>0</v>
      </c>
      <c r="AR53" s="3">
        <v>0</v>
      </c>
      <c r="AS53" s="3">
        <v>0</v>
      </c>
      <c r="AT53" s="3">
        <v>0</v>
      </c>
      <c r="AU53" s="3">
        <v>0</v>
      </c>
      <c r="AV53" s="3">
        <v>0</v>
      </c>
      <c r="AW53" s="3">
        <v>0</v>
      </c>
      <c r="AX53" s="3">
        <v>0</v>
      </c>
      <c r="AY53" s="3">
        <v>0</v>
      </c>
      <c r="AZ53" s="3"/>
    </row>
    <row r="54" spans="1:52" x14ac:dyDescent="0.2">
      <c r="A54" s="4">
        <f>IF(SUM(B54:K54)=0,0.001,Model!A62)</f>
        <v>1E-3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3">
        <v>0</v>
      </c>
      <c r="AC54" s="3">
        <v>0</v>
      </c>
      <c r="AD54" s="3">
        <v>0</v>
      </c>
      <c r="AE54" s="3">
        <v>0</v>
      </c>
      <c r="AF54" s="3">
        <v>0</v>
      </c>
      <c r="AG54" s="3">
        <v>0</v>
      </c>
      <c r="AH54" s="3">
        <v>0</v>
      </c>
      <c r="AI54" s="3">
        <v>0</v>
      </c>
      <c r="AJ54" s="3">
        <v>0</v>
      </c>
      <c r="AK54" s="3">
        <v>0</v>
      </c>
      <c r="AL54" s="3">
        <v>0</v>
      </c>
      <c r="AM54" s="3">
        <v>0</v>
      </c>
      <c r="AN54" s="3">
        <v>0</v>
      </c>
      <c r="AO54" s="3">
        <v>0</v>
      </c>
      <c r="AP54" s="3">
        <v>0</v>
      </c>
      <c r="AQ54" s="3">
        <v>0</v>
      </c>
      <c r="AR54" s="3">
        <v>0</v>
      </c>
      <c r="AS54" s="3">
        <v>0</v>
      </c>
      <c r="AT54" s="3">
        <v>0</v>
      </c>
      <c r="AU54" s="3">
        <v>0</v>
      </c>
      <c r="AV54" s="3">
        <v>0</v>
      </c>
      <c r="AW54" s="3">
        <v>0</v>
      </c>
      <c r="AX54" s="3">
        <v>0</v>
      </c>
      <c r="AY54" s="3">
        <v>0</v>
      </c>
      <c r="AZ54" s="3"/>
    </row>
    <row r="55" spans="1:52" x14ac:dyDescent="0.2">
      <c r="A55" s="4">
        <f>IF(SUM(B55:K55)=0,0.001,Model!A63)</f>
        <v>1E-3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0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3">
        <v>0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0</v>
      </c>
      <c r="AI55" s="3">
        <v>0</v>
      </c>
      <c r="AJ55" s="3">
        <v>0</v>
      </c>
      <c r="AK55" s="3">
        <v>0</v>
      </c>
      <c r="AL55" s="3">
        <v>0</v>
      </c>
      <c r="AM55" s="3">
        <v>0</v>
      </c>
      <c r="AN55" s="3">
        <v>0</v>
      </c>
      <c r="AO55" s="3">
        <v>0</v>
      </c>
      <c r="AP55" s="3">
        <v>0</v>
      </c>
      <c r="AQ55" s="3">
        <v>0</v>
      </c>
      <c r="AR55" s="3">
        <v>0</v>
      </c>
      <c r="AS55" s="3">
        <v>0</v>
      </c>
      <c r="AT55" s="3">
        <v>0</v>
      </c>
      <c r="AU55" s="3">
        <v>0</v>
      </c>
      <c r="AV55" s="3">
        <v>0</v>
      </c>
      <c r="AW55" s="3">
        <v>0</v>
      </c>
      <c r="AX55" s="3">
        <v>0</v>
      </c>
      <c r="AY55" s="3">
        <v>0</v>
      </c>
      <c r="AZ55" s="3"/>
    </row>
    <row r="56" spans="1:52" x14ac:dyDescent="0.2">
      <c r="A56" s="4">
        <f>IF(SUM(B56:K56)=0,0.001,Model!A64)</f>
        <v>1E-3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0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3">
        <v>0</v>
      </c>
      <c r="AC56" s="3">
        <v>0</v>
      </c>
      <c r="AD56" s="3">
        <v>0</v>
      </c>
      <c r="AE56" s="3">
        <v>0</v>
      </c>
      <c r="AF56" s="3">
        <v>0</v>
      </c>
      <c r="AG56" s="3">
        <v>0</v>
      </c>
      <c r="AH56" s="3">
        <v>0</v>
      </c>
      <c r="AI56" s="3">
        <v>0</v>
      </c>
      <c r="AJ56" s="3">
        <v>0</v>
      </c>
      <c r="AK56" s="3">
        <v>0</v>
      </c>
      <c r="AL56" s="3">
        <v>0</v>
      </c>
      <c r="AM56" s="3">
        <v>0</v>
      </c>
      <c r="AN56" s="3">
        <v>0</v>
      </c>
      <c r="AO56" s="3">
        <v>0</v>
      </c>
      <c r="AP56" s="3">
        <v>0</v>
      </c>
      <c r="AQ56" s="3">
        <v>0</v>
      </c>
      <c r="AR56" s="3">
        <v>0</v>
      </c>
      <c r="AS56" s="3">
        <v>0</v>
      </c>
      <c r="AT56" s="3">
        <v>0</v>
      </c>
      <c r="AU56" s="3">
        <v>0</v>
      </c>
      <c r="AV56" s="3">
        <v>0</v>
      </c>
      <c r="AW56" s="3">
        <v>0</v>
      </c>
      <c r="AX56" s="3">
        <v>0</v>
      </c>
      <c r="AY56" s="3">
        <v>0</v>
      </c>
      <c r="AZ56" s="3"/>
    </row>
    <row r="57" spans="1:52" x14ac:dyDescent="0.2">
      <c r="A57" s="4">
        <f>IF(SUM(B57:K57)=0,0.001,Model!A65)</f>
        <v>1E-3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0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>
        <v>0</v>
      </c>
      <c r="X57" s="3">
        <v>0</v>
      </c>
      <c r="Y57" s="3">
        <v>0</v>
      </c>
      <c r="Z57" s="3">
        <v>0</v>
      </c>
      <c r="AA57" s="3">
        <v>0</v>
      </c>
      <c r="AB57" s="3">
        <v>0</v>
      </c>
      <c r="AC57" s="3">
        <v>0</v>
      </c>
      <c r="AD57" s="3">
        <v>0</v>
      </c>
      <c r="AE57" s="3">
        <v>0</v>
      </c>
      <c r="AF57" s="3">
        <v>0</v>
      </c>
      <c r="AG57" s="3">
        <v>0</v>
      </c>
      <c r="AH57" s="3">
        <v>0</v>
      </c>
      <c r="AI57" s="3">
        <v>0</v>
      </c>
      <c r="AJ57" s="3">
        <v>0</v>
      </c>
      <c r="AK57" s="3">
        <v>0</v>
      </c>
      <c r="AL57" s="3">
        <v>0</v>
      </c>
      <c r="AM57" s="3">
        <v>0</v>
      </c>
      <c r="AN57" s="3">
        <v>0</v>
      </c>
      <c r="AO57" s="3">
        <v>0</v>
      </c>
      <c r="AP57" s="3">
        <v>0</v>
      </c>
      <c r="AQ57" s="3">
        <v>0</v>
      </c>
      <c r="AR57" s="3">
        <v>0</v>
      </c>
      <c r="AS57" s="3">
        <v>0</v>
      </c>
      <c r="AT57" s="3">
        <v>0</v>
      </c>
      <c r="AU57" s="3">
        <v>0</v>
      </c>
      <c r="AV57" s="3">
        <v>0</v>
      </c>
      <c r="AW57" s="3">
        <v>0</v>
      </c>
      <c r="AX57" s="3">
        <v>0</v>
      </c>
      <c r="AY57" s="3">
        <v>0</v>
      </c>
      <c r="AZ57" s="3"/>
    </row>
    <row r="58" spans="1:52" x14ac:dyDescent="0.2">
      <c r="A58" s="4">
        <f>IF(SUM(B58:K58)=0,0.001,Model!A66)</f>
        <v>1E-3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0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3">
        <v>0</v>
      </c>
      <c r="AC58" s="3">
        <v>0</v>
      </c>
      <c r="AD58" s="3">
        <v>0</v>
      </c>
      <c r="AE58" s="3">
        <v>0</v>
      </c>
      <c r="AF58" s="3">
        <v>0</v>
      </c>
      <c r="AG58" s="3">
        <v>0</v>
      </c>
      <c r="AH58" s="3">
        <v>0</v>
      </c>
      <c r="AI58" s="3">
        <v>0</v>
      </c>
      <c r="AJ58" s="3">
        <v>0</v>
      </c>
      <c r="AK58" s="3">
        <v>0</v>
      </c>
      <c r="AL58" s="3">
        <v>0</v>
      </c>
      <c r="AM58" s="3">
        <v>0</v>
      </c>
      <c r="AN58" s="3">
        <v>0</v>
      </c>
      <c r="AO58" s="3">
        <v>0</v>
      </c>
      <c r="AP58" s="3">
        <v>0</v>
      </c>
      <c r="AQ58" s="3">
        <v>0</v>
      </c>
      <c r="AR58" s="3">
        <v>0</v>
      </c>
      <c r="AS58" s="3">
        <v>0</v>
      </c>
      <c r="AT58" s="3">
        <v>0</v>
      </c>
      <c r="AU58" s="3">
        <v>0</v>
      </c>
      <c r="AV58" s="3">
        <v>0</v>
      </c>
      <c r="AW58" s="3">
        <v>0</v>
      </c>
      <c r="AX58" s="3">
        <v>0</v>
      </c>
      <c r="AY58" s="3">
        <v>0</v>
      </c>
      <c r="AZ58" s="3"/>
    </row>
    <row r="59" spans="1:52" x14ac:dyDescent="0.2">
      <c r="A59" s="4">
        <f>IF(SUM(B59:K59)=0,0.001,Model!A67)</f>
        <v>1E-3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3">
        <v>0</v>
      </c>
      <c r="AE59" s="3">
        <v>0</v>
      </c>
      <c r="AF59" s="3">
        <v>0</v>
      </c>
      <c r="AG59" s="3">
        <v>0</v>
      </c>
      <c r="AH59" s="3">
        <v>0</v>
      </c>
      <c r="AI59" s="3">
        <v>0</v>
      </c>
      <c r="AJ59" s="3">
        <v>0</v>
      </c>
      <c r="AK59" s="3">
        <v>0</v>
      </c>
      <c r="AL59" s="3">
        <v>0</v>
      </c>
      <c r="AM59" s="3">
        <v>0</v>
      </c>
      <c r="AN59" s="3">
        <v>0</v>
      </c>
      <c r="AO59" s="3">
        <v>0</v>
      </c>
      <c r="AP59" s="3">
        <v>0</v>
      </c>
      <c r="AQ59" s="3">
        <v>0</v>
      </c>
      <c r="AR59" s="3">
        <v>0</v>
      </c>
      <c r="AS59" s="3">
        <v>0</v>
      </c>
      <c r="AT59" s="3">
        <v>0</v>
      </c>
      <c r="AU59" s="3">
        <v>0</v>
      </c>
      <c r="AV59" s="3">
        <v>0</v>
      </c>
      <c r="AW59" s="3">
        <v>0</v>
      </c>
      <c r="AX59" s="3">
        <v>0</v>
      </c>
      <c r="AY59" s="3">
        <v>0</v>
      </c>
      <c r="AZ59" s="3"/>
    </row>
    <row r="60" spans="1:52" x14ac:dyDescent="0.2">
      <c r="A60" s="4">
        <f>IF(SUM(B60:K60)=0,0.001,Model!A68)</f>
        <v>1E-3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  <c r="L60" s="3">
        <v>0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3">
        <v>0</v>
      </c>
      <c r="X60" s="3">
        <v>0</v>
      </c>
      <c r="Y60" s="3">
        <v>0</v>
      </c>
      <c r="Z60" s="3">
        <v>0</v>
      </c>
      <c r="AA60" s="3">
        <v>0</v>
      </c>
      <c r="AB60" s="3">
        <v>0</v>
      </c>
      <c r="AC60" s="3">
        <v>0</v>
      </c>
      <c r="AD60" s="3">
        <v>0</v>
      </c>
      <c r="AE60" s="3">
        <v>0</v>
      </c>
      <c r="AF60" s="3">
        <v>0</v>
      </c>
      <c r="AG60" s="3">
        <v>0</v>
      </c>
      <c r="AH60" s="3">
        <v>0</v>
      </c>
      <c r="AI60" s="3">
        <v>0</v>
      </c>
      <c r="AJ60" s="3">
        <v>0</v>
      </c>
      <c r="AK60" s="3">
        <v>0</v>
      </c>
      <c r="AL60" s="3">
        <v>0</v>
      </c>
      <c r="AM60" s="3">
        <v>0</v>
      </c>
      <c r="AN60" s="3">
        <v>0</v>
      </c>
      <c r="AO60" s="3">
        <v>0</v>
      </c>
      <c r="AP60" s="3">
        <v>0</v>
      </c>
      <c r="AQ60" s="3">
        <v>0</v>
      </c>
      <c r="AR60" s="3">
        <v>0</v>
      </c>
      <c r="AS60" s="3">
        <v>0</v>
      </c>
      <c r="AT60" s="3">
        <v>0</v>
      </c>
      <c r="AU60" s="3">
        <v>0</v>
      </c>
      <c r="AV60" s="3">
        <v>0</v>
      </c>
      <c r="AW60" s="3">
        <v>0</v>
      </c>
      <c r="AX60" s="3">
        <v>0</v>
      </c>
      <c r="AY60" s="3">
        <v>0</v>
      </c>
      <c r="AZ60" s="3"/>
    </row>
    <row r="61" spans="1:52" x14ac:dyDescent="0.2">
      <c r="A61" s="4">
        <f>IF(SUM(B61:K61)=0,0.001,Model!A69)</f>
        <v>1E-3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  <c r="AC61" s="3">
        <v>0</v>
      </c>
      <c r="AD61" s="3">
        <v>0</v>
      </c>
      <c r="AE61" s="3">
        <v>0</v>
      </c>
      <c r="AF61" s="3">
        <v>0</v>
      </c>
      <c r="AG61" s="3">
        <v>0</v>
      </c>
      <c r="AH61" s="3">
        <v>0</v>
      </c>
      <c r="AI61" s="3">
        <v>0</v>
      </c>
      <c r="AJ61" s="3">
        <v>0</v>
      </c>
      <c r="AK61" s="3">
        <v>0</v>
      </c>
      <c r="AL61" s="3">
        <v>0</v>
      </c>
      <c r="AM61" s="3">
        <v>0</v>
      </c>
      <c r="AN61" s="3">
        <v>0</v>
      </c>
      <c r="AO61" s="3">
        <v>0</v>
      </c>
      <c r="AP61" s="3">
        <v>0</v>
      </c>
      <c r="AQ61" s="3">
        <v>0</v>
      </c>
      <c r="AR61" s="3">
        <v>0</v>
      </c>
      <c r="AS61" s="3">
        <v>0</v>
      </c>
      <c r="AT61" s="3">
        <v>0</v>
      </c>
      <c r="AU61" s="3">
        <v>0</v>
      </c>
      <c r="AV61" s="3">
        <v>0</v>
      </c>
      <c r="AW61" s="3">
        <v>0</v>
      </c>
      <c r="AX61" s="3">
        <v>0</v>
      </c>
      <c r="AY61" s="3">
        <v>0</v>
      </c>
      <c r="AZ61" s="3"/>
    </row>
    <row r="62" spans="1:52" x14ac:dyDescent="0.2">
      <c r="A62" s="4">
        <f>IF(SUM(B62:K62)=0,0.001,Model!A70)</f>
        <v>1E-3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3">
        <v>0</v>
      </c>
      <c r="X62" s="3">
        <v>0</v>
      </c>
      <c r="Y62" s="3">
        <v>0</v>
      </c>
      <c r="Z62" s="3">
        <v>0</v>
      </c>
      <c r="AA62" s="3">
        <v>0</v>
      </c>
      <c r="AB62" s="3">
        <v>0</v>
      </c>
      <c r="AC62" s="3">
        <v>0</v>
      </c>
      <c r="AD62" s="3">
        <v>0</v>
      </c>
      <c r="AE62" s="3">
        <v>0</v>
      </c>
      <c r="AF62" s="3">
        <v>0</v>
      </c>
      <c r="AG62" s="3">
        <v>0</v>
      </c>
      <c r="AH62" s="3">
        <v>0</v>
      </c>
      <c r="AI62" s="3">
        <v>0</v>
      </c>
      <c r="AJ62" s="3">
        <v>0</v>
      </c>
      <c r="AK62" s="3">
        <v>0</v>
      </c>
      <c r="AL62" s="3">
        <v>0</v>
      </c>
      <c r="AM62" s="3">
        <v>0</v>
      </c>
      <c r="AN62" s="3">
        <v>0</v>
      </c>
      <c r="AO62" s="3">
        <v>0</v>
      </c>
      <c r="AP62" s="3">
        <v>0</v>
      </c>
      <c r="AQ62" s="3">
        <v>0</v>
      </c>
      <c r="AR62" s="3">
        <v>0</v>
      </c>
      <c r="AS62" s="3">
        <v>0</v>
      </c>
      <c r="AT62" s="3">
        <v>0</v>
      </c>
      <c r="AU62" s="3">
        <v>0</v>
      </c>
      <c r="AV62" s="3">
        <v>0</v>
      </c>
      <c r="AW62" s="3">
        <v>0</v>
      </c>
      <c r="AX62" s="3">
        <v>0</v>
      </c>
      <c r="AY62" s="3">
        <v>0</v>
      </c>
      <c r="AZ62" s="3"/>
    </row>
    <row r="63" spans="1:52" x14ac:dyDescent="0.2">
      <c r="A63" s="4">
        <f>IF(SUM(B63:K63)=0,0.001,Model!A71)</f>
        <v>1E-3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  <c r="AC63" s="3">
        <v>0</v>
      </c>
      <c r="AD63" s="3">
        <v>0</v>
      </c>
      <c r="AE63" s="3">
        <v>0</v>
      </c>
      <c r="AF63" s="3">
        <v>0</v>
      </c>
      <c r="AG63" s="3">
        <v>0</v>
      </c>
      <c r="AH63" s="3">
        <v>0</v>
      </c>
      <c r="AI63" s="3">
        <v>0</v>
      </c>
      <c r="AJ63" s="3">
        <v>0</v>
      </c>
      <c r="AK63" s="3">
        <v>0</v>
      </c>
      <c r="AL63" s="3">
        <v>0</v>
      </c>
      <c r="AM63" s="3">
        <v>0</v>
      </c>
      <c r="AN63" s="3">
        <v>0</v>
      </c>
      <c r="AO63" s="3">
        <v>0</v>
      </c>
      <c r="AP63" s="3">
        <v>0</v>
      </c>
      <c r="AQ63" s="3">
        <v>0</v>
      </c>
      <c r="AR63" s="3">
        <v>0</v>
      </c>
      <c r="AS63" s="3">
        <v>0</v>
      </c>
      <c r="AT63" s="3">
        <v>0</v>
      </c>
      <c r="AU63" s="3">
        <v>0</v>
      </c>
      <c r="AV63" s="3">
        <v>0</v>
      </c>
      <c r="AW63" s="3">
        <v>0</v>
      </c>
      <c r="AX63" s="3">
        <v>0</v>
      </c>
      <c r="AY63" s="3">
        <v>0</v>
      </c>
      <c r="AZ63" s="3"/>
    </row>
    <row r="64" spans="1:52" x14ac:dyDescent="0.2">
      <c r="A64" s="4">
        <f>IF(SUM(B64:K64)=0,0.001,Model!A72)</f>
        <v>1E-3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0</v>
      </c>
      <c r="J64" s="3">
        <v>0</v>
      </c>
      <c r="K64" s="3">
        <v>0</v>
      </c>
      <c r="L64" s="3">
        <v>0</v>
      </c>
      <c r="M64" s="3">
        <v>0</v>
      </c>
      <c r="N64" s="3">
        <v>0</v>
      </c>
      <c r="O64" s="3">
        <v>0</v>
      </c>
      <c r="P64" s="3">
        <v>0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0</v>
      </c>
      <c r="W64" s="3">
        <v>0</v>
      </c>
      <c r="X64" s="3">
        <v>0</v>
      </c>
      <c r="Y64" s="3">
        <v>0</v>
      </c>
      <c r="Z64" s="3">
        <v>0</v>
      </c>
      <c r="AA64" s="3">
        <v>0</v>
      </c>
      <c r="AB64" s="3">
        <v>0</v>
      </c>
      <c r="AC64" s="3">
        <v>0</v>
      </c>
      <c r="AD64" s="3">
        <v>0</v>
      </c>
      <c r="AE64" s="3">
        <v>0</v>
      </c>
      <c r="AF64" s="3">
        <v>0</v>
      </c>
      <c r="AG64" s="3">
        <v>0</v>
      </c>
      <c r="AH64" s="3">
        <v>0</v>
      </c>
      <c r="AI64" s="3">
        <v>0</v>
      </c>
      <c r="AJ64" s="3">
        <v>0</v>
      </c>
      <c r="AK64" s="3">
        <v>0</v>
      </c>
      <c r="AL64" s="3">
        <v>0</v>
      </c>
      <c r="AM64" s="3">
        <v>0</v>
      </c>
      <c r="AN64" s="3">
        <v>0</v>
      </c>
      <c r="AO64" s="3">
        <v>0</v>
      </c>
      <c r="AP64" s="3">
        <v>0</v>
      </c>
      <c r="AQ64" s="3">
        <v>0</v>
      </c>
      <c r="AR64" s="3">
        <v>0</v>
      </c>
      <c r="AS64" s="3">
        <v>0</v>
      </c>
      <c r="AT64" s="3">
        <v>0</v>
      </c>
      <c r="AU64" s="3">
        <v>0</v>
      </c>
      <c r="AV64" s="3">
        <v>0</v>
      </c>
      <c r="AW64" s="3">
        <v>0</v>
      </c>
      <c r="AX64" s="3">
        <v>0</v>
      </c>
      <c r="AY64" s="3">
        <v>0</v>
      </c>
      <c r="AZ64" s="3"/>
    </row>
    <row r="65" spans="1:52" x14ac:dyDescent="0.2">
      <c r="A65" s="4">
        <f>IF(SUM(B65:K65)=0,0.001,Model!A73)</f>
        <v>1E-3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  <c r="AC65" s="3">
        <v>0</v>
      </c>
      <c r="AD65" s="3">
        <v>0</v>
      </c>
      <c r="AE65" s="3">
        <v>0</v>
      </c>
      <c r="AF65" s="3">
        <v>0</v>
      </c>
      <c r="AG65" s="3">
        <v>0</v>
      </c>
      <c r="AH65" s="3">
        <v>0</v>
      </c>
      <c r="AI65" s="3">
        <v>0</v>
      </c>
      <c r="AJ65" s="3">
        <v>0</v>
      </c>
      <c r="AK65" s="3">
        <v>0</v>
      </c>
      <c r="AL65" s="3">
        <v>0</v>
      </c>
      <c r="AM65" s="3">
        <v>0</v>
      </c>
      <c r="AN65" s="3">
        <v>0</v>
      </c>
      <c r="AO65" s="3">
        <v>0</v>
      </c>
      <c r="AP65" s="3">
        <v>0</v>
      </c>
      <c r="AQ65" s="3">
        <v>0</v>
      </c>
      <c r="AR65" s="3">
        <v>0</v>
      </c>
      <c r="AS65" s="3">
        <v>0</v>
      </c>
      <c r="AT65" s="3">
        <v>0</v>
      </c>
      <c r="AU65" s="3">
        <v>0</v>
      </c>
      <c r="AV65" s="3">
        <v>0</v>
      </c>
      <c r="AW65" s="3">
        <v>0</v>
      </c>
      <c r="AX65" s="3">
        <v>0</v>
      </c>
      <c r="AY65" s="3">
        <v>0</v>
      </c>
      <c r="AZ65" s="3"/>
    </row>
    <row r="66" spans="1:52" x14ac:dyDescent="0.2">
      <c r="A66" s="4">
        <f>IF(SUM(B66:K66)=0,0.001,Model!A74)</f>
        <v>1E-3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0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0</v>
      </c>
      <c r="W66" s="3">
        <v>0</v>
      </c>
      <c r="X66" s="3">
        <v>0</v>
      </c>
      <c r="Y66" s="3">
        <v>0</v>
      </c>
      <c r="Z66" s="3">
        <v>0</v>
      </c>
      <c r="AA66" s="3">
        <v>0</v>
      </c>
      <c r="AB66" s="3">
        <v>0</v>
      </c>
      <c r="AC66" s="3">
        <v>0</v>
      </c>
      <c r="AD66" s="3">
        <v>0</v>
      </c>
      <c r="AE66" s="3">
        <v>0</v>
      </c>
      <c r="AF66" s="3">
        <v>0</v>
      </c>
      <c r="AG66" s="3">
        <v>0</v>
      </c>
      <c r="AH66" s="3">
        <v>0</v>
      </c>
      <c r="AI66" s="3">
        <v>0</v>
      </c>
      <c r="AJ66" s="3">
        <v>0</v>
      </c>
      <c r="AK66" s="3">
        <v>0</v>
      </c>
      <c r="AL66" s="3">
        <v>0</v>
      </c>
      <c r="AM66" s="3">
        <v>0</v>
      </c>
      <c r="AN66" s="3">
        <v>0</v>
      </c>
      <c r="AO66" s="3">
        <v>0</v>
      </c>
      <c r="AP66" s="3">
        <v>0</v>
      </c>
      <c r="AQ66" s="3">
        <v>0</v>
      </c>
      <c r="AR66" s="3">
        <v>0</v>
      </c>
      <c r="AS66" s="3">
        <v>0</v>
      </c>
      <c r="AT66" s="3">
        <v>0</v>
      </c>
      <c r="AU66" s="3">
        <v>0</v>
      </c>
      <c r="AV66" s="3">
        <v>0</v>
      </c>
      <c r="AW66" s="3">
        <v>0</v>
      </c>
      <c r="AX66" s="3">
        <v>0</v>
      </c>
      <c r="AY66" s="3">
        <v>0</v>
      </c>
      <c r="AZ66" s="3"/>
    </row>
    <row r="67" spans="1:52" x14ac:dyDescent="0.2">
      <c r="A67" s="4">
        <f>IF(SUM(B67:K67)=0,0.001,Model!A75)</f>
        <v>1E-3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  <c r="AC67" s="3">
        <v>0</v>
      </c>
      <c r="AD67" s="3">
        <v>0</v>
      </c>
      <c r="AE67" s="3">
        <v>0</v>
      </c>
      <c r="AF67" s="3">
        <v>0</v>
      </c>
      <c r="AG67" s="3">
        <v>0</v>
      </c>
      <c r="AH67" s="3">
        <v>0</v>
      </c>
      <c r="AI67" s="3">
        <v>0</v>
      </c>
      <c r="AJ67" s="3">
        <v>0</v>
      </c>
      <c r="AK67" s="3">
        <v>0</v>
      </c>
      <c r="AL67" s="3">
        <v>0</v>
      </c>
      <c r="AM67" s="3">
        <v>0</v>
      </c>
      <c r="AN67" s="3">
        <v>0</v>
      </c>
      <c r="AO67" s="3">
        <v>0</v>
      </c>
      <c r="AP67" s="3">
        <v>0</v>
      </c>
      <c r="AQ67" s="3">
        <v>0</v>
      </c>
      <c r="AR67" s="3">
        <v>0</v>
      </c>
      <c r="AS67" s="3">
        <v>0</v>
      </c>
      <c r="AT67" s="3">
        <v>0</v>
      </c>
      <c r="AU67" s="3">
        <v>0</v>
      </c>
      <c r="AV67" s="3">
        <v>0</v>
      </c>
      <c r="AW67" s="3">
        <v>0</v>
      </c>
      <c r="AX67" s="3">
        <v>0</v>
      </c>
      <c r="AY67" s="3">
        <v>0</v>
      </c>
      <c r="AZ67" s="3"/>
    </row>
    <row r="68" spans="1:52" x14ac:dyDescent="0.2">
      <c r="A68" s="4">
        <f>IF(SUM(B68:K68)=0,0.001,Model!A76)</f>
        <v>1E-3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0</v>
      </c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0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  <c r="AB68" s="3">
        <v>0</v>
      </c>
      <c r="AC68" s="3">
        <v>0</v>
      </c>
      <c r="AD68" s="3">
        <v>0</v>
      </c>
      <c r="AE68" s="3">
        <v>0</v>
      </c>
      <c r="AF68" s="3">
        <v>0</v>
      </c>
      <c r="AG68" s="3">
        <v>0</v>
      </c>
      <c r="AH68" s="3">
        <v>0</v>
      </c>
      <c r="AI68" s="3">
        <v>0</v>
      </c>
      <c r="AJ68" s="3">
        <v>0</v>
      </c>
      <c r="AK68" s="3">
        <v>0</v>
      </c>
      <c r="AL68" s="3">
        <v>0</v>
      </c>
      <c r="AM68" s="3">
        <v>0</v>
      </c>
      <c r="AN68" s="3">
        <v>0</v>
      </c>
      <c r="AO68" s="3">
        <v>0</v>
      </c>
      <c r="AP68" s="3">
        <v>0</v>
      </c>
      <c r="AQ68" s="3">
        <v>0</v>
      </c>
      <c r="AR68" s="3">
        <v>0</v>
      </c>
      <c r="AS68" s="3">
        <v>0</v>
      </c>
      <c r="AT68" s="3">
        <v>0</v>
      </c>
      <c r="AU68" s="3">
        <v>0</v>
      </c>
      <c r="AV68" s="3">
        <v>0</v>
      </c>
      <c r="AW68" s="3">
        <v>0</v>
      </c>
      <c r="AX68" s="3">
        <v>0</v>
      </c>
      <c r="AY68" s="3">
        <v>0</v>
      </c>
      <c r="AZ68" s="3"/>
    </row>
    <row r="69" spans="1:52" x14ac:dyDescent="0.2">
      <c r="A69" s="4">
        <f>IF(SUM(B69:K69)=0,0.001,Model!A77)</f>
        <v>1E-3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  <c r="AC69" s="3">
        <v>0</v>
      </c>
      <c r="AD69" s="3">
        <v>0</v>
      </c>
      <c r="AE69" s="3">
        <v>0</v>
      </c>
      <c r="AF69" s="3">
        <v>0</v>
      </c>
      <c r="AG69" s="3">
        <v>0</v>
      </c>
      <c r="AH69" s="3">
        <v>0</v>
      </c>
      <c r="AI69" s="3">
        <v>0</v>
      </c>
      <c r="AJ69" s="3">
        <v>0</v>
      </c>
      <c r="AK69" s="3">
        <v>0</v>
      </c>
      <c r="AL69" s="3">
        <v>0</v>
      </c>
      <c r="AM69" s="3">
        <v>0</v>
      </c>
      <c r="AN69" s="3">
        <v>0</v>
      </c>
      <c r="AO69" s="3">
        <v>0</v>
      </c>
      <c r="AP69" s="3">
        <v>0</v>
      </c>
      <c r="AQ69" s="3">
        <v>0</v>
      </c>
      <c r="AR69" s="3">
        <v>0</v>
      </c>
      <c r="AS69" s="3">
        <v>0</v>
      </c>
      <c r="AT69" s="3">
        <v>0</v>
      </c>
      <c r="AU69" s="3">
        <v>0</v>
      </c>
      <c r="AV69" s="3">
        <v>0</v>
      </c>
      <c r="AW69" s="3">
        <v>0</v>
      </c>
      <c r="AX69" s="3">
        <v>0</v>
      </c>
      <c r="AY69" s="3">
        <v>0</v>
      </c>
      <c r="AZ69" s="3"/>
    </row>
    <row r="70" spans="1:52" x14ac:dyDescent="0.2">
      <c r="A70" s="4">
        <f>IF(SUM(B70:K70)=0,0.001,Model!A78)</f>
        <v>1E-3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0</v>
      </c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0</v>
      </c>
      <c r="U70" s="3">
        <v>0</v>
      </c>
      <c r="V70" s="3">
        <v>0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3">
        <v>0</v>
      </c>
      <c r="AC70" s="3">
        <v>0</v>
      </c>
      <c r="AD70" s="3">
        <v>0</v>
      </c>
      <c r="AE70" s="3">
        <v>0</v>
      </c>
      <c r="AF70" s="3">
        <v>0</v>
      </c>
      <c r="AG70" s="3">
        <v>0</v>
      </c>
      <c r="AH70" s="3">
        <v>0</v>
      </c>
      <c r="AI70" s="3">
        <v>0</v>
      </c>
      <c r="AJ70" s="3">
        <v>0</v>
      </c>
      <c r="AK70" s="3">
        <v>0</v>
      </c>
      <c r="AL70" s="3">
        <v>0</v>
      </c>
      <c r="AM70" s="3">
        <v>0</v>
      </c>
      <c r="AN70" s="3">
        <v>0</v>
      </c>
      <c r="AO70" s="3">
        <v>0</v>
      </c>
      <c r="AP70" s="3">
        <v>0</v>
      </c>
      <c r="AQ70" s="3">
        <v>0</v>
      </c>
      <c r="AR70" s="3">
        <v>0</v>
      </c>
      <c r="AS70" s="3">
        <v>0</v>
      </c>
      <c r="AT70" s="3">
        <v>0</v>
      </c>
      <c r="AU70" s="3">
        <v>0</v>
      </c>
      <c r="AV70" s="3">
        <v>0</v>
      </c>
      <c r="AW70" s="3">
        <v>0</v>
      </c>
      <c r="AX70" s="3">
        <v>0</v>
      </c>
      <c r="AY70" s="3">
        <v>0</v>
      </c>
      <c r="AZ70" s="3"/>
    </row>
    <row r="71" spans="1:52" x14ac:dyDescent="0.2">
      <c r="A71" s="4">
        <f>IF(SUM(B71:K71)=0,0.001,Model!A79)</f>
        <v>1E-3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  <c r="AC71" s="3">
        <v>0</v>
      </c>
      <c r="AD71" s="3">
        <v>0</v>
      </c>
      <c r="AE71" s="3">
        <v>0</v>
      </c>
      <c r="AF71" s="3">
        <v>0</v>
      </c>
      <c r="AG71" s="3">
        <v>0</v>
      </c>
      <c r="AH71" s="3">
        <v>0</v>
      </c>
      <c r="AI71" s="3">
        <v>0</v>
      </c>
      <c r="AJ71" s="3">
        <v>0</v>
      </c>
      <c r="AK71" s="3">
        <v>0</v>
      </c>
      <c r="AL71" s="3">
        <v>0</v>
      </c>
      <c r="AM71" s="3">
        <v>0</v>
      </c>
      <c r="AN71" s="3">
        <v>0</v>
      </c>
      <c r="AO71" s="3">
        <v>0</v>
      </c>
      <c r="AP71" s="3">
        <v>0</v>
      </c>
      <c r="AQ71" s="3">
        <v>0</v>
      </c>
      <c r="AR71" s="3">
        <v>0</v>
      </c>
      <c r="AS71" s="3">
        <v>0</v>
      </c>
      <c r="AT71" s="3">
        <v>0</v>
      </c>
      <c r="AU71" s="3">
        <v>0</v>
      </c>
      <c r="AV71" s="3">
        <v>0</v>
      </c>
      <c r="AW71" s="3">
        <v>0</v>
      </c>
      <c r="AX71" s="3">
        <v>0</v>
      </c>
      <c r="AY71" s="3">
        <v>0</v>
      </c>
      <c r="AZ71" s="3"/>
    </row>
    <row r="72" spans="1:52" x14ac:dyDescent="0.2">
      <c r="A72" s="4">
        <f>IF(SUM(B72:K72)=0,0.001,Model!A80)</f>
        <v>1E-3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0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3">
        <v>0</v>
      </c>
      <c r="T72" s="3">
        <v>0</v>
      </c>
      <c r="U72" s="3">
        <v>0</v>
      </c>
      <c r="V72" s="3">
        <v>0</v>
      </c>
      <c r="W72" s="3">
        <v>0</v>
      </c>
      <c r="X72" s="3">
        <v>0</v>
      </c>
      <c r="Y72" s="3">
        <v>0</v>
      </c>
      <c r="Z72" s="3">
        <v>0</v>
      </c>
      <c r="AA72" s="3">
        <v>0</v>
      </c>
      <c r="AB72" s="3">
        <v>0</v>
      </c>
      <c r="AC72" s="3">
        <v>0</v>
      </c>
      <c r="AD72" s="3">
        <v>0</v>
      </c>
      <c r="AE72" s="3">
        <v>0</v>
      </c>
      <c r="AF72" s="3">
        <v>0</v>
      </c>
      <c r="AG72" s="3">
        <v>0</v>
      </c>
      <c r="AH72" s="3">
        <v>0</v>
      </c>
      <c r="AI72" s="3">
        <v>0</v>
      </c>
      <c r="AJ72" s="3">
        <v>0</v>
      </c>
      <c r="AK72" s="3">
        <v>0</v>
      </c>
      <c r="AL72" s="3">
        <v>0</v>
      </c>
      <c r="AM72" s="3">
        <v>0</v>
      </c>
      <c r="AN72" s="3">
        <v>0</v>
      </c>
      <c r="AO72" s="3">
        <v>0</v>
      </c>
      <c r="AP72" s="3">
        <v>0</v>
      </c>
      <c r="AQ72" s="3">
        <v>0</v>
      </c>
      <c r="AR72" s="3">
        <v>0</v>
      </c>
      <c r="AS72" s="3">
        <v>0</v>
      </c>
      <c r="AT72" s="3">
        <v>0</v>
      </c>
      <c r="AU72" s="3">
        <v>0</v>
      </c>
      <c r="AV72" s="3">
        <v>0</v>
      </c>
      <c r="AW72" s="3">
        <v>0</v>
      </c>
      <c r="AX72" s="3">
        <v>0</v>
      </c>
      <c r="AY72" s="3">
        <v>0</v>
      </c>
      <c r="AZ72" s="3"/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C51"/>
  <sheetViews>
    <sheetView showZeros="0" workbookViewId="0">
      <selection activeCell="Q17" sqref="Q17"/>
    </sheetView>
  </sheetViews>
  <sheetFormatPr defaultRowHeight="11.25" x14ac:dyDescent="0.2"/>
  <cols>
    <col min="1" max="1" width="11.33203125" style="26" bestFit="1" customWidth="1"/>
    <col min="2" max="16384" width="9.33203125" style="2"/>
  </cols>
  <sheetData>
    <row r="1" spans="1:55" s="14" customFormat="1" ht="107.25" x14ac:dyDescent="0.2">
      <c r="A1" s="23"/>
      <c r="B1" s="16">
        <f>Input!I1</f>
        <v>0</v>
      </c>
      <c r="C1" s="16">
        <f>Input!J1</f>
        <v>0</v>
      </c>
      <c r="D1" s="16">
        <f>Input!K1</f>
        <v>0</v>
      </c>
      <c r="E1" s="16">
        <f>Input!L1</f>
        <v>0</v>
      </c>
      <c r="F1" s="16">
        <f>Input!M1</f>
        <v>0</v>
      </c>
      <c r="G1" s="16">
        <f>Input!N1</f>
        <v>0</v>
      </c>
      <c r="H1" s="16">
        <f>Input!O1</f>
        <v>0</v>
      </c>
      <c r="I1" s="16">
        <f>Input!P1</f>
        <v>0</v>
      </c>
      <c r="J1" s="16">
        <f>Input!Q1</f>
        <v>0</v>
      </c>
      <c r="K1" s="16">
        <f>Input!R1</f>
        <v>0</v>
      </c>
      <c r="L1" s="16">
        <f>Input!S1</f>
        <v>0</v>
      </c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</row>
    <row r="2" spans="1:55" x14ac:dyDescent="0.2">
      <c r="A2" s="24">
        <f>Input!A5</f>
        <v>0</v>
      </c>
      <c r="B2" s="3">
        <f>MAX('IR per year'!B90,1E-20)</f>
        <v>1.1221530549360041E-5</v>
      </c>
      <c r="C2" s="3">
        <f>MAX('IR per year'!C90,1E-20)</f>
        <v>6.484549409388082E-6</v>
      </c>
      <c r="D2" s="3">
        <f>MAX('IR per year'!D90,1E-20)</f>
        <v>1.6957041902955864E-5</v>
      </c>
      <c r="E2" s="3">
        <f>MAX('IR per year'!E90,1E-20)</f>
        <v>4.355003837342663E-6</v>
      </c>
      <c r="F2" s="3">
        <f>MAX('IR per year'!F90,1E-20)</f>
        <v>3.5140742975402264E-6</v>
      </c>
      <c r="G2" s="3">
        <f>MAX('IR per year'!G90,1E-20)</f>
        <v>4.623458534770808E-6</v>
      </c>
      <c r="H2" s="3">
        <f>MAX('IR per year'!H90,1E-20)</f>
        <v>2.083806352498368E-6</v>
      </c>
      <c r="I2" s="3">
        <f>MAX('IR per year'!I90,1E-20)</f>
        <v>1.6381807627522058E-6</v>
      </c>
      <c r="J2" s="3">
        <f>MAX('IR per year'!J90,1E-20)</f>
        <v>1.3456647520070589E-6</v>
      </c>
      <c r="K2" s="3">
        <f>MAX('IR per year'!K90,1E-20)</f>
        <v>1.1142580382199902E-6</v>
      </c>
      <c r="L2" s="3">
        <f>MAX('IR per year'!L90,1E-20)</f>
        <v>9.9999999999999995E-21</v>
      </c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4"/>
      <c r="AU2" s="4"/>
      <c r="AV2" s="4"/>
      <c r="AW2" s="4"/>
      <c r="AX2" s="4"/>
      <c r="AY2" s="4"/>
      <c r="AZ2" s="4"/>
      <c r="BA2" s="4"/>
      <c r="BB2" s="4"/>
      <c r="BC2" s="4"/>
    </row>
    <row r="3" spans="1:55" x14ac:dyDescent="0.2">
      <c r="A3" s="24">
        <f>Input!A6</f>
        <v>0</v>
      </c>
      <c r="B3" s="3">
        <f>MAX('IR per year'!B91-'IR per year'!B90,1E-20)</f>
        <v>1.5187416121019033E-7</v>
      </c>
      <c r="C3" s="3">
        <f>MAX('IR per year'!C91-'IR per year'!C90,1E-20)</f>
        <v>4.1299799627025183E-8</v>
      </c>
      <c r="D3" s="3">
        <f>MAX('IR per year'!D91-'IR per year'!D90,1E-20)</f>
        <v>6.3278803848703475E-7</v>
      </c>
      <c r="E3" s="3">
        <f>MAX('IR per year'!E91-'IR per year'!E90,1E-20)</f>
        <v>2.1337727729847916E-8</v>
      </c>
      <c r="F3" s="3">
        <f>MAX('IR per year'!F91-'IR per year'!F90,1E-20)</f>
        <v>1.5011281624895607E-8</v>
      </c>
      <c r="G3" s="3">
        <f>MAX('IR per year'!G91-'IR per year'!G90,1E-20)</f>
        <v>3.2469636095692358E-8</v>
      </c>
      <c r="H3" s="3">
        <f>MAX('IR per year'!H91-'IR per year'!H90,1E-20)</f>
        <v>6.5245025676213491E-9</v>
      </c>
      <c r="I3" s="3">
        <f>MAX('IR per year'!I91-'IR per year'!I90,1E-20)</f>
        <v>4.0420647105867371E-9</v>
      </c>
      <c r="J3" s="3">
        <f>MAX('IR per year'!J91-'IR per year'!J90,1E-20)</f>
        <v>3.208683521590687E-9</v>
      </c>
      <c r="K3" s="3">
        <f>MAX('IR per year'!K91-'IR per year'!K90,1E-20)</f>
        <v>2.3026609961294617E-9</v>
      </c>
      <c r="L3" s="3">
        <f>MAX('IR per year'!L91-'IR per year'!L90,1E-20)</f>
        <v>9.9999999999999995E-21</v>
      </c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</row>
    <row r="4" spans="1:55" x14ac:dyDescent="0.2">
      <c r="A4" s="24">
        <f>Input!A7</f>
        <v>0</v>
      </c>
      <c r="B4" s="3">
        <f>MAX('IR per year'!B92-'IR per year'!B91,1E-20)</f>
        <v>3.8681833305199994E-7</v>
      </c>
      <c r="C4" s="3">
        <f>MAX('IR per year'!C92-'IR per year'!C91,1E-20)</f>
        <v>1.4660688550269615E-7</v>
      </c>
      <c r="D4" s="3">
        <f>MAX('IR per year'!D92-'IR per year'!D91,1E-20)</f>
        <v>1.3174043602204082E-6</v>
      </c>
      <c r="E4" s="3">
        <f>MAX('IR per year'!E92-'IR per year'!E91,1E-20)</f>
        <v>8.8275181104750165E-8</v>
      </c>
      <c r="F4" s="3">
        <f>MAX('IR per year'!F92-'IR per year'!F91,1E-20)</f>
        <v>6.7720003982124576E-8</v>
      </c>
      <c r="G4" s="3">
        <f>MAX('IR per year'!G92-'IR per year'!G91,1E-20)</f>
        <v>1.1291830584163907E-7</v>
      </c>
      <c r="H4" s="3">
        <f>MAX('IR per year'!H92-'IR per year'!H91,1E-20)</f>
        <v>3.5572961183458219E-8</v>
      </c>
      <c r="I4" s="3">
        <f>MAX('IR per year'!I92-'IR per year'!I91,1E-20)</f>
        <v>2.5499962504506036E-8</v>
      </c>
      <c r="J4" s="3">
        <f>MAX('IR per year'!J92-'IR per year'!J91,1E-20)</f>
        <v>1.9711733012354289E-8</v>
      </c>
      <c r="K4" s="3">
        <f>MAX('IR per year'!K92-'IR per year'!K91,1E-20)</f>
        <v>1.7867857908159976E-8</v>
      </c>
      <c r="L4" s="3">
        <f>MAX('IR per year'!L92-'IR per year'!L91,1E-20)</f>
        <v>9.9999999999999995E-21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</row>
    <row r="5" spans="1:55" x14ac:dyDescent="0.2">
      <c r="A5" s="24">
        <f>Input!A5</f>
        <v>0</v>
      </c>
      <c r="B5" s="3">
        <f>MAX('IR per year'!B93-'IR per year'!B92,1E-20)</f>
        <v>1.1036092085805299E-5</v>
      </c>
      <c r="C5" s="3">
        <f>MAX('IR per year'!C93-'IR per year'!C92,1E-20)</f>
        <v>6.804841170154828E-6</v>
      </c>
      <c r="D5" s="3">
        <f>MAX('IR per year'!D93-'IR per year'!D92,1E-20)</f>
        <v>1.6194510657531287E-5</v>
      </c>
      <c r="E5" s="3">
        <f>MAX('IR per year'!E93-'IR per year'!E92,1E-20)</f>
        <v>4.798003388893843E-6</v>
      </c>
      <c r="F5" s="3">
        <f>MAX('IR per year'!F93-'IR per year'!F92,1E-20)</f>
        <v>3.9202021242258307E-6</v>
      </c>
      <c r="G5" s="3">
        <f>MAX('IR per year'!G93-'IR per year'!G92,1E-20)</f>
        <v>4.8325532525334244E-6</v>
      </c>
      <c r="H5" s="3">
        <f>MAX('IR per year'!H93-'IR per year'!H92,1E-20)</f>
        <v>2.3746015051665876E-6</v>
      </c>
      <c r="I5" s="3">
        <f>MAX('IR per year'!I93-'IR per year'!I92,1E-20)</f>
        <v>1.9829315174471618E-6</v>
      </c>
      <c r="J5" s="3">
        <f>MAX('IR per year'!J93-'IR per year'!J92,1E-20)</f>
        <v>1.6026998488550289E-6</v>
      </c>
      <c r="K5" s="3">
        <f>MAX('IR per year'!K93-'IR per year'!K92,1E-20)</f>
        <v>1.3740490780047409E-6</v>
      </c>
      <c r="L5" s="3">
        <f>MAX('IR per year'!L93-'IR per year'!L92,1E-20)</f>
        <v>9.9999999999999995E-21</v>
      </c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</row>
    <row r="6" spans="1:55" x14ac:dyDescent="0.2">
      <c r="A6" s="24">
        <f>Input!A9</f>
        <v>0</v>
      </c>
      <c r="B6" s="3">
        <f>MAX('IR per year'!B94-'IR per year'!B93,1E-20)</f>
        <v>3.225903547041969E-6</v>
      </c>
      <c r="C6" s="3">
        <f>MAX('IR per year'!C94-'IR per year'!C93,1E-20)</f>
        <v>1.671002517913671E-6</v>
      </c>
      <c r="D6" s="3">
        <f>MAX('IR per year'!D94-'IR per year'!D93,1E-20)</f>
        <v>6.4757768908898714E-6</v>
      </c>
      <c r="E6" s="3">
        <f>MAX('IR per year'!E94-'IR per year'!E93,1E-20)</f>
        <v>1.2089351871631871E-6</v>
      </c>
      <c r="F6" s="3">
        <f>MAX('IR per year'!F94-'IR per year'!F93,1E-20)</f>
        <v>9.5503207253910475E-7</v>
      </c>
      <c r="G6" s="3">
        <f>MAX('IR per year'!G94-'IR per year'!G93,1E-20)</f>
        <v>1.3522271404641556E-6</v>
      </c>
      <c r="H6" s="3">
        <f>MAX('IR per year'!H94-'IR per year'!H93,1E-20)</f>
        <v>6.0262918933182755E-7</v>
      </c>
      <c r="I6" s="3">
        <f>MAX('IR per year'!I94-'IR per year'!I93,1E-20)</f>
        <v>4.7834397446739892E-7</v>
      </c>
      <c r="J6" s="3">
        <f>MAX('IR per year'!J94-'IR per year'!J93,1E-20)</f>
        <v>4.0688495799072598E-7</v>
      </c>
      <c r="K6" s="3">
        <f>MAX('IR per year'!K94-'IR per year'!K93,1E-20)</f>
        <v>3.461357054690197E-7</v>
      </c>
      <c r="L6" s="3">
        <f>MAX('IR per year'!L94-'IR per year'!L93,1E-20)</f>
        <v>9.9999999999999995E-21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</row>
    <row r="7" spans="1:55" ht="11.25" customHeight="1" x14ac:dyDescent="0.2">
      <c r="A7" s="25">
        <f>Input!A10</f>
        <v>0</v>
      </c>
      <c r="B7" s="3">
        <f>MAX('IR per year'!B95-'IR per year'!B94,1E-20)</f>
        <v>8.5073572267463441E-6</v>
      </c>
      <c r="C7" s="3">
        <f>MAX('IR per year'!C95-'IR per year'!C94,1E-20)</f>
        <v>4.3804380999490206E-6</v>
      </c>
      <c r="D7" s="3">
        <f>MAX('IR per year'!D95-'IR per year'!D94,1E-20)</f>
        <v>1.4113768000562646E-5</v>
      </c>
      <c r="E7" s="3">
        <f>MAX('IR per year'!E95-'IR per year'!E94,1E-20)</f>
        <v>2.6939593384895203E-6</v>
      </c>
      <c r="F7" s="3">
        <f>MAX('IR per year'!F95-'IR per year'!F94,1E-20)</f>
        <v>2.0381136307067064E-6</v>
      </c>
      <c r="G7" s="3">
        <f>MAX('IR per year'!G95-'IR per year'!G94,1E-20)</f>
        <v>2.9082198750709955E-6</v>
      </c>
      <c r="H7" s="3">
        <f>MAX('IR per year'!H95-'IR per year'!H94,1E-20)</f>
        <v>1.098801585487296E-6</v>
      </c>
      <c r="I7" s="3">
        <f>MAX('IR per year'!I95-'IR per year'!I94,1E-20)</f>
        <v>8.2727494750159467E-7</v>
      </c>
      <c r="J7" s="3">
        <f>MAX('IR per year'!J95-'IR per year'!J94,1E-20)</f>
        <v>6.2812078974467483E-7</v>
      </c>
      <c r="K7" s="3">
        <f>MAX('IR per year'!K95-'IR per year'!K94,1E-20)</f>
        <v>5.4415602204082036E-7</v>
      </c>
      <c r="L7" s="3">
        <f>MAX('IR per year'!L95-'IR per year'!L94,1E-20)</f>
        <v>9.9999999999999995E-21</v>
      </c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</row>
    <row r="8" spans="1:55" ht="11.25" customHeight="1" x14ac:dyDescent="0.2">
      <c r="A8" s="25">
        <f>Input!A11</f>
        <v>0</v>
      </c>
      <c r="B8" s="3">
        <f>MAX('IR per year'!B96-'IR per year'!B95,1E-20)</f>
        <v>3.9607932395882008E-8</v>
      </c>
      <c r="C8" s="3">
        <f>MAX('IR per year'!C96-'IR per year'!C95,1E-20)</f>
        <v>8.0211397614066951E-9</v>
      </c>
      <c r="D8" s="3">
        <f>MAX('IR per year'!D96-'IR per year'!D95,1E-20)</f>
        <v>2.2741113752750903E-7</v>
      </c>
      <c r="E8" s="3">
        <f>MAX('IR per year'!E96-'IR per year'!E95,1E-20)</f>
        <v>3.059912374220295E-9</v>
      </c>
      <c r="F8" s="3">
        <f>MAX('IR per year'!F96-'IR per year'!F95,1E-20)</f>
        <v>1.6446249806314291E-9</v>
      </c>
      <c r="G8" s="3">
        <f>MAX('IR per year'!G96-'IR per year'!G95,1E-20)</f>
        <v>2.9523733818404826E-9</v>
      </c>
      <c r="H8" s="3">
        <f>MAX('IR per year'!H96-'IR per year'!H95,1E-20)</f>
        <v>4.5879913450499701E-10</v>
      </c>
      <c r="I8" s="3">
        <f>MAX('IR per year'!I96-'IR per year'!I95,1E-20)</f>
        <v>2.3459293986069491E-10</v>
      </c>
      <c r="J8" s="3">
        <f>MAX('IR per year'!J96-'IR per year'!J95,1E-20)</f>
        <v>5.7994548007543926E-11</v>
      </c>
      <c r="K8" s="3">
        <f>MAX('IR per year'!K96-'IR per year'!K95,1E-20)</f>
        <v>7.2477064028291286E-11</v>
      </c>
      <c r="L8" s="3">
        <f>MAX('IR per year'!L96-'IR per year'!L95,1E-20)</f>
        <v>9.9999999999999995E-21</v>
      </c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</row>
    <row r="9" spans="1:55" ht="11.25" customHeight="1" x14ac:dyDescent="0.2">
      <c r="A9" s="25">
        <f>Input!A12</f>
        <v>0</v>
      </c>
      <c r="B9" s="3">
        <f>MAX('IR per year'!B97-'IR per year'!B96,1E-20)</f>
        <v>7.7156236678888203E-7</v>
      </c>
      <c r="C9" s="3">
        <f>MAX('IR per year'!C97-'IR per year'!C96,1E-20)</f>
        <v>3.1321844200089236E-7</v>
      </c>
      <c r="D9" s="3">
        <f>MAX('IR per year'!D97-'IR per year'!D96,1E-20)</f>
        <v>2.1746434620931074E-6</v>
      </c>
      <c r="E9" s="3">
        <f>MAX('IR per year'!E97-'IR per year'!E96,1E-20)</f>
        <v>1.8810357437668105E-7</v>
      </c>
      <c r="F9" s="3">
        <f>MAX('IR per year'!F97-'IR per year'!F96,1E-20)</f>
        <v>1.612807993665577E-7</v>
      </c>
      <c r="G9" s="3">
        <f>MAX('IR per year'!G97-'IR per year'!G96,1E-20)</f>
        <v>2.6307548623252524E-7</v>
      </c>
      <c r="H9" s="3">
        <f>MAX('IR per year'!H97-'IR per year'!H96,1E-20)</f>
        <v>9.0192414682329307E-8</v>
      </c>
      <c r="I9" s="3">
        <f>MAX('IR per year'!I97-'IR per year'!I96,1E-20)</f>
        <v>7.2602684924740541E-8</v>
      </c>
      <c r="J9" s="3">
        <f>MAX('IR per year'!J97-'IR per year'!J96,1E-20)</f>
        <v>5.5097033839099049E-8</v>
      </c>
      <c r="K9" s="3">
        <f>MAX('IR per year'!K97-'IR per year'!K96,1E-20)</f>
        <v>5.0060308684901701E-8</v>
      </c>
      <c r="L9" s="3">
        <f>MAX('IR per year'!L97-'IR per year'!L96,1E-20)</f>
        <v>9.9999999999999995E-21</v>
      </c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</row>
    <row r="10" spans="1:55" ht="11.25" customHeight="1" x14ac:dyDescent="0.2">
      <c r="A10" s="25">
        <f>Input!A13</f>
        <v>0</v>
      </c>
      <c r="B10" s="3">
        <f>MAX('IR per year'!B98-'IR per year'!B97,1E-20)</f>
        <v>1.5229070727787626E-6</v>
      </c>
      <c r="C10" s="3">
        <f>MAX('IR per year'!C98-'IR per year'!C97,1E-20)</f>
        <v>6.4521565155496784E-7</v>
      </c>
      <c r="D10" s="3">
        <f>MAX('IR per year'!D98-'IR per year'!D97,1E-20)</f>
        <v>3.5130053997297204E-6</v>
      </c>
      <c r="E10" s="3">
        <f>MAX('IR per year'!E98-'IR per year'!E97,1E-20)</f>
        <v>4.0672458605785562E-7</v>
      </c>
      <c r="F10" s="3">
        <f>MAX('IR per year'!F98-'IR per year'!F97,1E-20)</f>
        <v>3.1795014141572932E-7</v>
      </c>
      <c r="G10" s="3">
        <f>MAX('IR per year'!G98-'IR per year'!G97,1E-20)</f>
        <v>4.8325687896065877E-7</v>
      </c>
      <c r="H10" s="3">
        <f>MAX('IR per year'!H98-'IR per year'!H97,1E-20)</f>
        <v>1.6746195149755925E-7</v>
      </c>
      <c r="I10" s="3">
        <f>MAX('IR per year'!I98-'IR per year'!I97,1E-20)</f>
        <v>1.3131696942640481E-7</v>
      </c>
      <c r="J10" s="3">
        <f>MAX('IR per year'!J98-'IR per year'!J97,1E-20)</f>
        <v>9.894075059817364E-8</v>
      </c>
      <c r="K10" s="3">
        <f>MAX('IR per year'!K98-'IR per year'!K97,1E-20)</f>
        <v>8.6413903733562998E-8</v>
      </c>
      <c r="L10" s="3">
        <f>MAX('IR per year'!L98-'IR per year'!L97,1E-20)</f>
        <v>9.9999999999999995E-21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</row>
    <row r="11" spans="1:55" ht="11.25" customHeight="1" x14ac:dyDescent="0.2">
      <c r="A11" s="25">
        <f>Input!A14</f>
        <v>0</v>
      </c>
      <c r="B11" s="3">
        <f>MAX('IR per year'!B99-'IR per year'!B98,1E-20)</f>
        <v>4.8671627390384106E-6</v>
      </c>
      <c r="C11" s="3">
        <f>MAX('IR per year'!C99-'IR per year'!C98,1E-20)</f>
        <v>2.5890091020995453E-6</v>
      </c>
      <c r="D11" s="3">
        <f>MAX('IR per year'!D99-'IR per year'!D98,1E-20)</f>
        <v>8.7020153480050247E-6</v>
      </c>
      <c r="E11" s="3">
        <f>MAX('IR per year'!E99-'IR per year'!E98,1E-20)</f>
        <v>1.7307666008315835E-6</v>
      </c>
      <c r="F11" s="3">
        <f>MAX('IR per year'!F99-'IR per year'!F98,1E-20)</f>
        <v>1.3329309861960737E-6</v>
      </c>
      <c r="G11" s="3">
        <f>MAX('IR per year'!G99-'IR per year'!G98,1E-20)</f>
        <v>1.838893636079708E-6</v>
      </c>
      <c r="H11" s="3">
        <f>MAX('IR per year'!H99-'IR per year'!H98,1E-20)</f>
        <v>7.913313635639773E-7</v>
      </c>
      <c r="I11" s="3">
        <f>MAX('IR per year'!I99-'IR per year'!I98,1E-20)</f>
        <v>6.3251911107659704E-7</v>
      </c>
      <c r="J11" s="3">
        <f>MAX('IR per year'!J99-'IR per year'!J98,1E-20)</f>
        <v>4.8356096969531674E-7</v>
      </c>
      <c r="K11" s="3">
        <f>MAX('IR per year'!K99-'IR per year'!K98,1E-20)</f>
        <v>4.1890957075942529E-7</v>
      </c>
      <c r="L11" s="3">
        <f>MAX('IR per year'!L99-'IR per year'!L98,1E-20)</f>
        <v>9.9999999999999995E-21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</row>
    <row r="12" spans="1:55" ht="11.25" customHeight="1" x14ac:dyDescent="0.2">
      <c r="A12" s="25">
        <f>Input!A15</f>
        <v>0</v>
      </c>
      <c r="B12" s="3">
        <f>MAX('IR per year'!B100-'IR per year'!B99,1E-20)</f>
        <v>1.0222604890876E-5</v>
      </c>
      <c r="C12" s="3">
        <f>MAX('IR per year'!C100-'IR per year'!C99,1E-20)</f>
        <v>6.3496964049445379E-6</v>
      </c>
      <c r="D12" s="3">
        <f>MAX('IR per year'!D100-'IR per year'!D99,1E-20)</f>
        <v>1.5686941864064414E-5</v>
      </c>
      <c r="E12" s="3">
        <f>MAX('IR per year'!E100-'IR per year'!E99,1E-20)</f>
        <v>4.4012491852301155E-6</v>
      </c>
      <c r="F12" s="3">
        <f>MAX('IR per year'!F100-'IR per year'!F99,1E-20)</f>
        <v>3.477219047442322E-6</v>
      </c>
      <c r="G12" s="3">
        <f>MAX('IR per year'!G100-'IR per year'!G99,1E-20)</f>
        <v>4.4434939041770356E-6</v>
      </c>
      <c r="H12" s="3">
        <f>MAX('IR per year'!H100-'IR per year'!H99,1E-20)</f>
        <v>2.139178885341036E-6</v>
      </c>
      <c r="I12" s="3">
        <f>MAX('IR per year'!I100-'IR per year'!I99,1E-20)</f>
        <v>1.7958071392201324E-6</v>
      </c>
      <c r="J12" s="3">
        <f>MAX('IR per year'!J100-'IR per year'!J99,1E-20)</f>
        <v>1.430483294772964E-6</v>
      </c>
      <c r="K12" s="3">
        <f>MAX('IR per year'!K100-'IR per year'!K99,1E-20)</f>
        <v>1.1642578318770789E-6</v>
      </c>
      <c r="L12" s="3">
        <f>MAX('IR per year'!L100-'IR per year'!L99,1E-20)</f>
        <v>9.9999999999999995E-21</v>
      </c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</row>
    <row r="13" spans="1:55" ht="11.25" customHeight="1" x14ac:dyDescent="0.2">
      <c r="A13" s="25">
        <f>Input!A16</f>
        <v>0</v>
      </c>
      <c r="B13" s="3">
        <f>MAX('IR per year'!B101-'IR per year'!B100,1E-20)</f>
        <v>2.3154232200844329E-6</v>
      </c>
      <c r="C13" s="3">
        <f>MAX('IR per year'!C101-'IR per year'!C100,1E-20)</f>
        <v>1.1832491820758745E-6</v>
      </c>
      <c r="D13" s="3">
        <f>MAX('IR per year'!D101-'IR per year'!D100,1E-20)</f>
        <v>5.0298161750385599E-6</v>
      </c>
      <c r="E13" s="3">
        <f>MAX('IR per year'!E101-'IR per year'!E100,1E-20)</f>
        <v>7.8218549602890395E-7</v>
      </c>
      <c r="F13" s="3">
        <f>MAX('IR per year'!F101-'IR per year'!F100,1E-20)</f>
        <v>6.7314687935971697E-7</v>
      </c>
      <c r="G13" s="3">
        <f>MAX('IR per year'!G101-'IR per year'!G100,1E-20)</f>
        <v>9.7852858702586465E-7</v>
      </c>
      <c r="H13" s="3">
        <f>MAX('IR per year'!H101-'IR per year'!H100,1E-20)</f>
        <v>4.1209248186776745E-7</v>
      </c>
      <c r="I13" s="3">
        <f>MAX('IR per year'!I101-'IR per year'!I100,1E-20)</f>
        <v>3.3217751876150543E-7</v>
      </c>
      <c r="J13" s="3">
        <f>MAX('IR per year'!J101-'IR per year'!J100,1E-20)</f>
        <v>2.8273335132833985E-7</v>
      </c>
      <c r="K13" s="3">
        <f>MAX('IR per year'!K101-'IR per year'!K100,1E-20)</f>
        <v>2.3923318733282082E-7</v>
      </c>
      <c r="L13" s="3">
        <f>MAX('IR per year'!L101-'IR per year'!L100,1E-20)</f>
        <v>9.9999999999999995E-21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</row>
    <row r="14" spans="1:55" ht="11.25" customHeight="1" x14ac:dyDescent="0.2">
      <c r="A14" s="25">
        <f>Input!A17</f>
        <v>0</v>
      </c>
      <c r="B14" s="3">
        <f>MAX('IR per year'!B102-'IR per year'!B101,1E-20)</f>
        <v>7.294874637031029E-7</v>
      </c>
      <c r="C14" s="3">
        <f>MAX('IR per year'!C102-'IR per year'!C101,1E-20)</f>
        <v>2.9961188696857517E-7</v>
      </c>
      <c r="D14" s="3">
        <f>MAX('IR per year'!D102-'IR per year'!D101,1E-20)</f>
        <v>2.2469478408569682E-6</v>
      </c>
      <c r="E14" s="3">
        <f>MAX('IR per year'!E102-'IR per year'!E101,1E-20)</f>
        <v>1.8598367815556848E-7</v>
      </c>
      <c r="F14" s="3">
        <f>MAX('IR per year'!F102-'IR per year'!F101,1E-20)</f>
        <v>1.4270291309329073E-7</v>
      </c>
      <c r="G14" s="3">
        <f>MAX('IR per year'!G102-'IR per year'!G101,1E-20)</f>
        <v>2.4893252911074618E-7</v>
      </c>
      <c r="H14" s="3">
        <f>MAX('IR per year'!H102-'IR per year'!H101,1E-20)</f>
        <v>8.6570414350706137E-8</v>
      </c>
      <c r="I14" s="3">
        <f>MAX('IR per year'!I102-'IR per year'!I101,1E-20)</f>
        <v>7.1317396091625734E-8</v>
      </c>
      <c r="J14" s="3">
        <f>MAX('IR per year'!J102-'IR per year'!J101,1E-20)</f>
        <v>5.8363095342990539E-8</v>
      </c>
      <c r="K14" s="3">
        <f>MAX('IR per year'!K102-'IR per year'!K101,1E-20)</f>
        <v>4.9987077402134792E-8</v>
      </c>
      <c r="L14" s="3">
        <f>MAX('IR per year'!L102-'IR per year'!L101,1E-20)</f>
        <v>9.9999999999999995E-21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</row>
    <row r="15" spans="1:55" ht="11.25" customHeight="1" x14ac:dyDescent="0.2">
      <c r="A15" s="25">
        <f>Input!A18</f>
        <v>0</v>
      </c>
      <c r="B15" s="3">
        <f>MAX('IR per year'!B103-'IR per year'!B102,1E-20)</f>
        <v>7.294874637031029E-7</v>
      </c>
      <c r="C15" s="3">
        <f>MAX('IR per year'!C103-'IR per year'!C102,1E-20)</f>
        <v>2.9961188696856161E-7</v>
      </c>
      <c r="D15" s="3">
        <f>MAX('IR per year'!D103-'IR per year'!D102,1E-20)</f>
        <v>2.2469478408569817E-6</v>
      </c>
      <c r="E15" s="3">
        <f>MAX('IR per year'!E103-'IR per year'!E102,1E-20)</f>
        <v>1.8598367815556509E-7</v>
      </c>
      <c r="F15" s="3">
        <f>MAX('IR per year'!F103-'IR per year'!F102,1E-20)</f>
        <v>1.4270291309329073E-7</v>
      </c>
      <c r="G15" s="3">
        <f>MAX('IR per year'!G103-'IR per year'!G102,1E-20)</f>
        <v>2.4893252911074618E-7</v>
      </c>
      <c r="H15" s="3">
        <f>MAX('IR per year'!H103-'IR per year'!H102,1E-20)</f>
        <v>8.6570414350706137E-8</v>
      </c>
      <c r="I15" s="3">
        <f>MAX('IR per year'!I103-'IR per year'!I102,1E-20)</f>
        <v>7.1317396091625734E-8</v>
      </c>
      <c r="J15" s="3">
        <f>MAX('IR per year'!J103-'IR per year'!J102,1E-20)</f>
        <v>5.8363095342989692E-8</v>
      </c>
      <c r="K15" s="3">
        <f>MAX('IR per year'!K103-'IR per year'!K102,1E-20)</f>
        <v>4.9987077402134792E-8</v>
      </c>
      <c r="L15" s="3">
        <f>MAX('IR per year'!L103-'IR per year'!L102,1E-20)</f>
        <v>9.9999999999999995E-21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</row>
    <row r="16" spans="1:55" ht="11.25" customHeight="1" x14ac:dyDescent="0.2">
      <c r="A16" s="25">
        <f>Input!A19</f>
        <v>0</v>
      </c>
      <c r="B16" s="3">
        <f>MAX('IR per year'!B104-'IR per year'!B103,1E-20)</f>
        <v>5.9936045110946666E-6</v>
      </c>
      <c r="C16" s="3">
        <f>MAX('IR per year'!C104-'IR per year'!C103,1E-20)</f>
        <v>3.5538012805052968E-6</v>
      </c>
      <c r="D16" s="3">
        <f>MAX('IR per year'!D104-'IR per year'!D103,1E-20)</f>
        <v>1.0256694987925124E-5</v>
      </c>
      <c r="E16" s="3">
        <f>MAX('IR per year'!E104-'IR per year'!E103,1E-20)</f>
        <v>2.4234548064686433E-6</v>
      </c>
      <c r="F16" s="3">
        <f>MAX('IR per year'!F104-'IR per year'!F103,1E-20)</f>
        <v>1.9834755329610185E-6</v>
      </c>
      <c r="G16" s="3">
        <f>MAX('IR per year'!G104-'IR per year'!G103,1E-20)</f>
        <v>2.6259220244137713E-6</v>
      </c>
      <c r="H16" s="3">
        <f>MAX('IR per year'!H104-'IR per year'!H103,1E-20)</f>
        <v>1.2398186012775392E-6</v>
      </c>
      <c r="I16" s="3">
        <f>MAX('IR per year'!I104-'IR per year'!I103,1E-20)</f>
        <v>1.026124239286634E-6</v>
      </c>
      <c r="J16" s="3">
        <f>MAX('IR per year'!J104-'IR per year'!J103,1E-20)</f>
        <v>8.1579176414521456E-7</v>
      </c>
      <c r="K16" s="3">
        <f>MAX('IR per year'!K104-'IR per year'!K103,1E-20)</f>
        <v>7.4568600542523369E-7</v>
      </c>
      <c r="L16" s="3">
        <f>MAX('IR per year'!L104-'IR per year'!L103,1E-20)</f>
        <v>9.9999999999999995E-21</v>
      </c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</row>
    <row r="17" spans="1:54" ht="11.25" customHeight="1" x14ac:dyDescent="0.2">
      <c r="A17" s="25">
        <f>Input!A20</f>
        <v>0</v>
      </c>
      <c r="B17" s="3">
        <f>MAX('IR per year'!B105-'IR per year'!B104,1E-20)</f>
        <v>1.022260244414127E-5</v>
      </c>
      <c r="C17" s="3">
        <f>MAX('IR per year'!C105-'IR per year'!C104,1E-20)</f>
        <v>6.3496946314469497E-6</v>
      </c>
      <c r="D17" s="3">
        <f>MAX('IR per year'!D105-'IR per year'!D104,1E-20)</f>
        <v>1.5686939079908655E-5</v>
      </c>
      <c r="E17" s="3">
        <f>MAX('IR per year'!E105-'IR per year'!E104,1E-20)</f>
        <v>4.4012478803254448E-6</v>
      </c>
      <c r="F17" s="3">
        <f>MAX('IR per year'!F105-'IR per year'!F104,1E-20)</f>
        <v>3.4772179691705592E-6</v>
      </c>
      <c r="G17" s="3">
        <f>MAX('IR per year'!G105-'IR per year'!G104,1E-20)</f>
        <v>4.4434926687171912E-6</v>
      </c>
      <c r="H17" s="3">
        <f>MAX('IR per year'!H105-'IR per year'!H104,1E-20)</f>
        <v>2.1391781648330109E-6</v>
      </c>
      <c r="I17" s="3">
        <f>MAX('IR per year'!I105-'IR per year'!I104,1E-20)</f>
        <v>1.7958065255865446E-6</v>
      </c>
      <c r="J17" s="3">
        <f>MAX('IR per year'!J105-'IR per year'!J104,1E-20)</f>
        <v>1.4304827869511385E-6</v>
      </c>
      <c r="K17" s="3">
        <f>MAX('IR per year'!K105-'IR per year'!K104,1E-20)</f>
        <v>1.1642574047271296E-6</v>
      </c>
      <c r="L17" s="3">
        <f>MAX('IR per year'!L105-'IR per year'!L104,1E-20)</f>
        <v>9.9999999999999995E-21</v>
      </c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</row>
    <row r="18" spans="1:54" ht="11.25" customHeight="1" x14ac:dyDescent="0.2">
      <c r="A18" s="25">
        <f>Input!A21</f>
        <v>0</v>
      </c>
      <c r="B18" s="3">
        <f>MAX('IR per year'!B106-'IR per year'!B105,1E-20)</f>
        <v>2.3154232201158612E-6</v>
      </c>
      <c r="C18" s="3">
        <f>MAX('IR per year'!C106-'IR per year'!C105,1E-20)</f>
        <v>1.1832491820949599E-6</v>
      </c>
      <c r="D18" s="3">
        <f>MAX('IR per year'!D106-'IR per year'!D105,1E-20)</f>
        <v>5.029816175090561E-6</v>
      </c>
      <c r="E18" s="3">
        <f>MAX('IR per year'!E106-'IR per year'!E105,1E-20)</f>
        <v>7.8218549604237178E-7</v>
      </c>
      <c r="F18" s="3">
        <f>MAX('IR per year'!F106-'IR per year'!F105,1E-20)</f>
        <v>6.7314687937143652E-7</v>
      </c>
      <c r="G18" s="3">
        <f>MAX('IR per year'!G106-'IR per year'!G105,1E-20)</f>
        <v>9.7852858704130776E-7</v>
      </c>
      <c r="H18" s="3">
        <f>MAX('IR per year'!H106-'IR per year'!H105,1E-20)</f>
        <v>4.1209248187521287E-7</v>
      </c>
      <c r="I18" s="3">
        <f>MAX('IR per year'!I106-'IR per year'!I105,1E-20)</f>
        <v>3.3217751876757697E-7</v>
      </c>
      <c r="J18" s="3">
        <f>MAX('IR per year'!J106-'IR per year'!J105,1E-20)</f>
        <v>2.8273335133360501E-7</v>
      </c>
      <c r="K18" s="3">
        <f>MAX('IR per year'!K106-'IR per year'!K105,1E-20)</f>
        <v>2.3923318733728468E-7</v>
      </c>
      <c r="L18" s="3">
        <f>MAX('IR per year'!L106-'IR per year'!L105,1E-20)</f>
        <v>9.9999999999999995E-21</v>
      </c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</row>
    <row r="19" spans="1:54" ht="11.25" customHeight="1" x14ac:dyDescent="0.2">
      <c r="A19" s="25">
        <f>Input!A22</f>
        <v>0</v>
      </c>
      <c r="B19" s="3">
        <f>MAX('IR per year'!B107-'IR per year'!B106,1E-20)</f>
        <v>7.2948746370309612E-7</v>
      </c>
      <c r="C19" s="3">
        <f>MAX('IR per year'!C107-'IR per year'!C106,1E-20)</f>
        <v>2.9961188696856161E-7</v>
      </c>
      <c r="D19" s="3">
        <f>MAX('IR per year'!D107-'IR per year'!D106,1E-20)</f>
        <v>2.2469478408569546E-6</v>
      </c>
      <c r="E19" s="3">
        <f>MAX('IR per year'!E107-'IR per year'!E106,1E-20)</f>
        <v>1.8598367815557187E-7</v>
      </c>
      <c r="F19" s="3">
        <f>MAX('IR per year'!F107-'IR per year'!F106,1E-20)</f>
        <v>1.4270291309329073E-7</v>
      </c>
      <c r="G19" s="3">
        <f>MAX('IR per year'!G107-'IR per year'!G106,1E-20)</f>
        <v>2.4893252911074279E-7</v>
      </c>
      <c r="H19" s="3">
        <f>MAX('IR per year'!H107-'IR per year'!H106,1E-20)</f>
        <v>8.6570414350704443E-8</v>
      </c>
      <c r="I19" s="3">
        <f>MAX('IR per year'!I107-'IR per year'!I106,1E-20)</f>
        <v>7.1317396091625734E-8</v>
      </c>
      <c r="J19" s="3">
        <f>MAX('IR per year'!J107-'IR per year'!J106,1E-20)</f>
        <v>5.8363095342990539E-8</v>
      </c>
      <c r="K19" s="3">
        <f>MAX('IR per year'!K107-'IR per year'!K106,1E-20)</f>
        <v>4.9987077402135639E-8</v>
      </c>
      <c r="L19" s="3">
        <f>MAX('IR per year'!L107-'IR per year'!L106,1E-20)</f>
        <v>9.9999999999999995E-21</v>
      </c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</row>
    <row r="20" spans="1:54" ht="11.25" customHeight="1" x14ac:dyDescent="0.2">
      <c r="A20" s="25">
        <f>Input!A23</f>
        <v>0</v>
      </c>
      <c r="B20" s="3">
        <f>MAX('IR per year'!B108-'IR per year'!B107,1E-20)</f>
        <v>7.2948746370309612E-7</v>
      </c>
      <c r="C20" s="3">
        <f>MAX('IR per year'!C108-'IR per year'!C107,1E-20)</f>
        <v>2.9961188696856161E-7</v>
      </c>
      <c r="D20" s="3">
        <f>MAX('IR per year'!D108-'IR per year'!D107,1E-20)</f>
        <v>2.2469478408569817E-6</v>
      </c>
      <c r="E20" s="3">
        <f>MAX('IR per year'!E108-'IR per year'!E107,1E-20)</f>
        <v>1.8598367815556509E-7</v>
      </c>
      <c r="F20" s="3">
        <f>MAX('IR per year'!F108-'IR per year'!F107,1E-20)</f>
        <v>1.4270291309329073E-7</v>
      </c>
      <c r="G20" s="3">
        <f>MAX('IR per year'!G108-'IR per year'!G107,1E-20)</f>
        <v>2.4893252911074957E-7</v>
      </c>
      <c r="H20" s="3">
        <f>MAX('IR per year'!H108-'IR per year'!H107,1E-20)</f>
        <v>8.6570414350704443E-8</v>
      </c>
      <c r="I20" s="3">
        <f>MAX('IR per year'!I108-'IR per year'!I107,1E-20)</f>
        <v>7.1317396091625734E-8</v>
      </c>
      <c r="J20" s="3">
        <f>MAX('IR per year'!J108-'IR per year'!J107,1E-20)</f>
        <v>5.8363095342988845E-8</v>
      </c>
      <c r="K20" s="3">
        <f>MAX('IR per year'!K108-'IR per year'!K107,1E-20)</f>
        <v>4.9987077402133945E-8</v>
      </c>
      <c r="L20" s="3">
        <f>MAX('IR per year'!L108-'IR per year'!L107,1E-20)</f>
        <v>9.9999999999999995E-21</v>
      </c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54" ht="11.25" customHeight="1" x14ac:dyDescent="0.2">
      <c r="A21" s="25">
        <f>Input!A24</f>
        <v>0</v>
      </c>
      <c r="B21" s="3">
        <f>MAX('IR per year'!B109-'IR per year'!B108,1E-20)</f>
        <v>5.9936045110946598E-6</v>
      </c>
      <c r="C21" s="3">
        <f>MAX('IR per year'!C109-'IR per year'!C108,1E-20)</f>
        <v>3.5538012805052968E-6</v>
      </c>
      <c r="D21" s="3">
        <f>MAX('IR per year'!D109-'IR per year'!D108,1E-20)</f>
        <v>1.0256694987925057E-5</v>
      </c>
      <c r="E21" s="3">
        <f>MAX('IR per year'!E109-'IR per year'!E108,1E-20)</f>
        <v>2.4234548064686535E-6</v>
      </c>
      <c r="F21" s="3">
        <f>MAX('IR per year'!F109-'IR per year'!F108,1E-20)</f>
        <v>1.9834755329610117E-6</v>
      </c>
      <c r="G21" s="3">
        <f>MAX('IR per year'!G109-'IR per year'!G108,1E-20)</f>
        <v>2.6259220244137713E-6</v>
      </c>
      <c r="H21" s="3">
        <f>MAX('IR per year'!H109-'IR per year'!H108,1E-20)</f>
        <v>1.2398186012775426E-6</v>
      </c>
      <c r="I21" s="3">
        <f>MAX('IR per year'!I109-'IR per year'!I108,1E-20)</f>
        <v>1.026124239286634E-6</v>
      </c>
      <c r="J21" s="3">
        <f>MAX('IR per year'!J109-'IR per year'!J108,1E-20)</f>
        <v>8.157917641452154E-7</v>
      </c>
      <c r="K21" s="3">
        <f>MAX('IR per year'!K109-'IR per year'!K108,1E-20)</f>
        <v>7.4568600542523284E-7</v>
      </c>
      <c r="L21" s="3">
        <f>MAX('IR per year'!L109-'IR per year'!L108,1E-20)</f>
        <v>9.9999999999999995E-21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54" ht="11.25" customHeight="1" x14ac:dyDescent="0.2">
      <c r="A22" s="25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54" ht="11.25" customHeight="1" x14ac:dyDescent="0.2">
      <c r="A23" s="25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54" ht="11.25" customHeight="1" x14ac:dyDescent="0.2">
      <c r="A24" s="25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54" ht="11.25" customHeight="1" x14ac:dyDescent="0.2">
      <c r="A25" s="25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54" ht="11.25" customHeight="1" x14ac:dyDescent="0.2">
      <c r="A26" s="25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54" ht="11.25" customHeight="1" x14ac:dyDescent="0.2">
      <c r="A27" s="25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</row>
    <row r="28" spans="1:54" ht="11.25" customHeight="1" x14ac:dyDescent="0.2">
      <c r="A28" s="25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</row>
    <row r="29" spans="1:54" ht="11.25" customHeight="1" x14ac:dyDescent="0.2">
      <c r="A29" s="25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</row>
    <row r="30" spans="1:54" x14ac:dyDescent="0.2"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</row>
    <row r="31" spans="1:54" x14ac:dyDescent="0.2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</row>
    <row r="32" spans="1:54" x14ac:dyDescent="0.2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</row>
    <row r="33" spans="2:54" x14ac:dyDescent="0.2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</row>
    <row r="34" spans="2:54" x14ac:dyDescent="0.2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</row>
    <row r="35" spans="2:54" x14ac:dyDescent="0.2"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</row>
    <row r="36" spans="2:54" x14ac:dyDescent="0.2"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</row>
    <row r="37" spans="2:54" x14ac:dyDescent="0.2"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</row>
    <row r="38" spans="2:54" x14ac:dyDescent="0.2"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</row>
    <row r="39" spans="2:54" x14ac:dyDescent="0.2"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</row>
    <row r="40" spans="2:54" x14ac:dyDescent="0.2"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</row>
    <row r="41" spans="2:54" x14ac:dyDescent="0.2"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</row>
    <row r="42" spans="2:54" x14ac:dyDescent="0.2"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</row>
    <row r="43" spans="2:54" x14ac:dyDescent="0.2"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</row>
    <row r="44" spans="2:54" x14ac:dyDescent="0.2"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</row>
    <row r="45" spans="2:54" x14ac:dyDescent="0.2"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</row>
    <row r="46" spans="2:54" x14ac:dyDescent="0.2"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</row>
    <row r="47" spans="2:54" x14ac:dyDescent="0.2"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</row>
    <row r="48" spans="2:54" x14ac:dyDescent="0.2"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</row>
    <row r="49" spans="2:54" x14ac:dyDescent="0.2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</row>
    <row r="50" spans="2:54" x14ac:dyDescent="0.2">
      <c r="B50" s="3"/>
      <c r="C50" s="3">
        <f>'IR per year'!C138-'IR per year'!C137</f>
        <v>0</v>
      </c>
      <c r="D50" s="3">
        <f>'IR per year'!D138-'IR per year'!D137</f>
        <v>0</v>
      </c>
      <c r="E50" s="3">
        <f>'IR per year'!E138-'IR per year'!E137</f>
        <v>0</v>
      </c>
      <c r="F50" s="3">
        <f>'IR per year'!F138-'IR per year'!F137</f>
        <v>0</v>
      </c>
      <c r="G50" s="3">
        <f>'IR per year'!G138-'IR per year'!G137</f>
        <v>0</v>
      </c>
      <c r="H50" s="3">
        <f>'IR per year'!H138-'IR per year'!H137</f>
        <v>0</v>
      </c>
      <c r="I50" s="3">
        <f>'IR per year'!I138-'IR per year'!I137</f>
        <v>0</v>
      </c>
      <c r="J50" s="3">
        <f>'IR per year'!J138-'IR per year'!J137</f>
        <v>0</v>
      </c>
      <c r="K50" s="3">
        <f>'IR per year'!K138-'IR per year'!K137</f>
        <v>0</v>
      </c>
      <c r="L50" s="3">
        <f>'IR per year'!L138-'IR per year'!L137</f>
        <v>0</v>
      </c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</row>
    <row r="51" spans="2:54" x14ac:dyDescent="0.2">
      <c r="B51" s="3"/>
      <c r="C51" s="3">
        <f>'IR per year'!C139-'IR per year'!C138</f>
        <v>0</v>
      </c>
      <c r="D51" s="3">
        <f>'IR per year'!D139-'IR per year'!D138</f>
        <v>0</v>
      </c>
      <c r="E51" s="3">
        <f>'IR per year'!E139-'IR per year'!E138</f>
        <v>0</v>
      </c>
      <c r="F51" s="3">
        <f>'IR per year'!F139-'IR per year'!F138</f>
        <v>0</v>
      </c>
      <c r="G51" s="3">
        <f>'IR per year'!G139-'IR per year'!G138</f>
        <v>0</v>
      </c>
      <c r="H51" s="3">
        <f>'IR per year'!H139-'IR per year'!H138</f>
        <v>0</v>
      </c>
      <c r="I51" s="3">
        <f>'IR per year'!I139-'IR per year'!I138</f>
        <v>0</v>
      </c>
      <c r="J51" s="3">
        <f>'IR per year'!J139-'IR per year'!J138</f>
        <v>0</v>
      </c>
      <c r="K51" s="3">
        <f>'IR per year'!K139-'IR per year'!K138</f>
        <v>0</v>
      </c>
      <c r="L51" s="3">
        <f>'IR per year'!L139-'IR per year'!L138</f>
        <v>0</v>
      </c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</row>
  </sheetData>
  <phoneticPr fontId="0" type="noConversion"/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139"/>
  <sheetViews>
    <sheetView showZeros="0" topLeftCell="A91" workbookViewId="0">
      <selection activeCell="B109" sqref="B109:AY109"/>
    </sheetView>
  </sheetViews>
  <sheetFormatPr defaultRowHeight="11.25" x14ac:dyDescent="0.2"/>
  <cols>
    <col min="1" max="1" width="8.6640625" style="3" bestFit="1" customWidth="1"/>
    <col min="2" max="48" width="9" style="3" customWidth="1"/>
    <col min="49" max="49" width="9.33203125" style="3"/>
    <col min="50" max="70" width="9" style="3" customWidth="1"/>
    <col min="71" max="16384" width="9.33203125" style="3"/>
  </cols>
  <sheetData>
    <row r="1" spans="1:12" s="88" customFormat="1" ht="60" customHeight="1" x14ac:dyDescent="0.2">
      <c r="B1" s="88">
        <f>Input!I1</f>
        <v>0</v>
      </c>
      <c r="C1" s="88">
        <f>Input!J1</f>
        <v>0</v>
      </c>
      <c r="D1" s="88">
        <f>Input!K1</f>
        <v>0</v>
      </c>
      <c r="E1" s="88">
        <f>Input!L1</f>
        <v>0</v>
      </c>
      <c r="F1" s="88">
        <f>Input!M1</f>
        <v>0</v>
      </c>
      <c r="G1" s="88">
        <f>Input!N1</f>
        <v>0</v>
      </c>
      <c r="H1" s="88">
        <f>Input!O1</f>
        <v>0</v>
      </c>
      <c r="I1" s="88">
        <f>Input!P1</f>
        <v>0</v>
      </c>
      <c r="J1" s="88">
        <f>Input!Q1</f>
        <v>0</v>
      </c>
      <c r="K1" s="88">
        <f>Input!R1</f>
        <v>0</v>
      </c>
      <c r="L1" s="88">
        <f>Input!S1</f>
        <v>0</v>
      </c>
    </row>
    <row r="2" spans="1:12" x14ac:dyDescent="0.2">
      <c r="A2" s="3" t="s">
        <v>7</v>
      </c>
      <c r="B2" s="3">
        <f>Input!I2</f>
        <v>0</v>
      </c>
      <c r="C2" s="3">
        <f>Input!J2</f>
        <v>0</v>
      </c>
      <c r="D2" s="3">
        <f>Input!K2</f>
        <v>0</v>
      </c>
      <c r="E2" s="3">
        <f>Input!L2</f>
        <v>0</v>
      </c>
      <c r="F2" s="3">
        <f>Input!M2</f>
        <v>0</v>
      </c>
      <c r="G2" s="3">
        <f>Input!N2</f>
        <v>0</v>
      </c>
      <c r="H2" s="3">
        <f>Input!O2</f>
        <v>0</v>
      </c>
      <c r="I2" s="3">
        <f>Input!P2</f>
        <v>0</v>
      </c>
      <c r="J2" s="3">
        <f>Input!Q2</f>
        <v>0</v>
      </c>
      <c r="K2" s="3">
        <f>Input!R2</f>
        <v>0</v>
      </c>
      <c r="L2" s="3">
        <f>Input!S2</f>
        <v>0</v>
      </c>
    </row>
    <row r="3" spans="1:12" x14ac:dyDescent="0.2">
      <c r="A3" s="3" t="s">
        <v>8</v>
      </c>
      <c r="B3" s="3">
        <f t="shared" ref="B3:L3" si="0">IF(B2="b1",1.4015831,(IF(B2="b2",1.5775467,(IF(B2="b3",1.1438199,(IF(B2="b4",1.5881841,(IF(B2="b5",3.1426485,1.1556336)))))))))</f>
        <v>1.1556336</v>
      </c>
      <c r="C3" s="3">
        <f t="shared" si="0"/>
        <v>1.1556336</v>
      </c>
      <c r="D3" s="3">
        <f t="shared" si="0"/>
        <v>1.1556336</v>
      </c>
      <c r="E3" s="3">
        <f t="shared" si="0"/>
        <v>1.1556336</v>
      </c>
      <c r="F3" s="3">
        <f t="shared" si="0"/>
        <v>1.1556336</v>
      </c>
      <c r="G3" s="3">
        <f t="shared" si="0"/>
        <v>1.1556336</v>
      </c>
      <c r="H3" s="3">
        <f t="shared" si="0"/>
        <v>1.1556336</v>
      </c>
      <c r="I3" s="3">
        <f t="shared" si="0"/>
        <v>1.1556336</v>
      </c>
      <c r="J3" s="3">
        <f t="shared" si="0"/>
        <v>1.1556336</v>
      </c>
      <c r="K3" s="3">
        <f t="shared" si="0"/>
        <v>1.1556336</v>
      </c>
      <c r="L3" s="3">
        <f t="shared" si="0"/>
        <v>1.1556336</v>
      </c>
    </row>
    <row r="4" spans="1:12" x14ac:dyDescent="0.2">
      <c r="A4" s="3" t="s">
        <v>9</v>
      </c>
      <c r="B4" s="3">
        <f t="shared" ref="B4:L4" si="1">IF(B2="b1",-201.4162,(IF(B2="b2",-273.7864,(IF(B2="b3",-84.969,(IF(B2="b4",-267.2065,(IF(B2="b5",-953.04554,-90.560775)))))))))</f>
        <v>-90.560775000000007</v>
      </c>
      <c r="C4" s="3">
        <f t="shared" si="1"/>
        <v>-90.560775000000007</v>
      </c>
      <c r="D4" s="3">
        <f t="shared" si="1"/>
        <v>-90.560775000000007</v>
      </c>
      <c r="E4" s="3">
        <f t="shared" si="1"/>
        <v>-90.560775000000007</v>
      </c>
      <c r="F4" s="3">
        <f t="shared" si="1"/>
        <v>-90.560775000000007</v>
      </c>
      <c r="G4" s="3">
        <f t="shared" si="1"/>
        <v>-90.560775000000007</v>
      </c>
      <c r="H4" s="3">
        <f t="shared" si="1"/>
        <v>-90.560775000000007</v>
      </c>
      <c r="I4" s="3">
        <f t="shared" si="1"/>
        <v>-90.560775000000007</v>
      </c>
      <c r="J4" s="3">
        <f t="shared" si="1"/>
        <v>-90.560775000000007</v>
      </c>
      <c r="K4" s="3">
        <f t="shared" si="1"/>
        <v>-90.560775000000007</v>
      </c>
      <c r="L4" s="3">
        <f t="shared" si="1"/>
        <v>-90.560775000000007</v>
      </c>
    </row>
    <row r="6" spans="1:12" s="11" customFormat="1" x14ac:dyDescent="0.2">
      <c r="A6" s="11" t="s">
        <v>10</v>
      </c>
      <c r="B6" s="11">
        <f>SUM(B7:B77)</f>
        <v>1.6746241604109212E-4</v>
      </c>
      <c r="C6" s="11">
        <f t="shared" ref="C6:L6" si="2">SUM(C7:C77)</f>
        <v>1.4986699715016535E-4</v>
      </c>
      <c r="D6" s="11">
        <f t="shared" si="2"/>
        <v>1.3362458767663819E-4</v>
      </c>
      <c r="E6" s="11">
        <f t="shared" si="2"/>
        <v>1.1991066136074459E-4</v>
      </c>
      <c r="F6" s="11">
        <f t="shared" si="2"/>
        <v>1.0790518350947443E-4</v>
      </c>
      <c r="G6" s="11">
        <f t="shared" si="2"/>
        <v>9.7538918763740611E-5</v>
      </c>
      <c r="H6" s="11">
        <f t="shared" si="2"/>
        <v>8.7592418840427928E-5</v>
      </c>
      <c r="I6" s="11">
        <f t="shared" si="2"/>
        <v>8.0021252588815883E-5</v>
      </c>
      <c r="J6" s="11">
        <f t="shared" si="2"/>
        <v>7.2035290254859519E-5</v>
      </c>
      <c r="K6" s="11">
        <f t="shared" si="2"/>
        <v>6.5170025802394375E-5</v>
      </c>
      <c r="L6" s="11">
        <f t="shared" si="2"/>
        <v>0</v>
      </c>
    </row>
    <row r="7" spans="1:12" x14ac:dyDescent="0.2">
      <c r="A7" s="4">
        <f>'Exceedance results'!A2</f>
        <v>10</v>
      </c>
      <c r="B7" s="3">
        <f>('Exceedance results'!B2-'Exceedance results'!B3)*(MIN(1,MAX(0,B$3*EXP(B$4/$A7))))</f>
        <v>2.4681704120905695E-8</v>
      </c>
      <c r="C7" s="3">
        <f>('Exceedance results'!C2-'Exceedance results'!C3)*(MIN(1,MAX(0,C$3*EXP(C$4/$A7))))</f>
        <v>2.5367884789907128E-8</v>
      </c>
      <c r="D7" s="3">
        <f>('Exceedance results'!D2-'Exceedance results'!D3)*(MIN(1,MAX(0,D$3*EXP(D$4/$A7))))</f>
        <v>2.6677573983887976E-8</v>
      </c>
      <c r="E7" s="3">
        <f>('Exceedance results'!E2-'Exceedance results'!E3)*(MIN(1,MAX(0,E$3*EXP(E$4/$A7))))</f>
        <v>2.6358192314207648E-8</v>
      </c>
      <c r="F7" s="3">
        <f>('Exceedance results'!F2-'Exceedance results'!F3)*(MIN(1,MAX(0,F$3*EXP(F$4/$A7))))</f>
        <v>2.6384167354716941E-8</v>
      </c>
      <c r="G7" s="3">
        <f>('Exceedance results'!G2-'Exceedance results'!G3)*(MIN(1,MAX(0,G$3*EXP(G$4/$A7))))</f>
        <v>2.7066864738471993E-8</v>
      </c>
      <c r="H7" s="3">
        <f>('Exceedance results'!H2-'Exceedance results'!H3)*(MIN(1,MAX(0,H$3*EXP(H$4/$A7))))</f>
        <v>2.5572413047806998E-8</v>
      </c>
      <c r="I7" s="3">
        <f>('Exceedance results'!I2-'Exceedance results'!I3)*(MIN(1,MAX(0,I$3*EXP(I$4/$A7))))</f>
        <v>2.6867006173727861E-8</v>
      </c>
      <c r="J7" s="3">
        <f>('Exceedance results'!J2-'Exceedance results'!J3)*(MIN(1,MAX(0,J$3*EXP(J$4/$A7))))</f>
        <v>2.6662335452076322E-8</v>
      </c>
      <c r="K7" s="3">
        <f>('Exceedance results'!K2-'Exceedance results'!K3)*(MIN(1,MAX(0,K$3*EXP(K$4/$A7))))</f>
        <v>2.6493565071572E-8</v>
      </c>
      <c r="L7" s="3">
        <f>('Exceedance results'!L2-'Exceedance results'!L3)*(MIN(1,MAX(0,L$3*EXP(L$4/$A7))))</f>
        <v>0</v>
      </c>
    </row>
    <row r="8" spans="1:12" x14ac:dyDescent="0.2">
      <c r="A8" s="4">
        <f>'Exceedance results'!A3</f>
        <v>20</v>
      </c>
      <c r="B8" s="3">
        <f>('Exceedance results'!B3-'Exceedance results'!B4)*(MIN(1,MAX(0,B$3*EXP(B$4/$A8))))</f>
        <v>1.5064509561085755E-6</v>
      </c>
      <c r="C8" s="3">
        <f>('Exceedance results'!C3-'Exceedance results'!C4)*(MIN(1,MAX(0,C$3*EXP(C$4/$A8))))</f>
        <v>1.5406425161809516E-6</v>
      </c>
      <c r="D8" s="3">
        <f>('Exceedance results'!D3-'Exceedance results'!D4)*(MIN(1,MAX(0,D$3*EXP(D$4/$A8))))</f>
        <v>1.3582319106329641E-6</v>
      </c>
      <c r="E8" s="3">
        <f>('Exceedance results'!E3-'Exceedance results'!E4)*(MIN(1,MAX(0,E$3*EXP(E$4/$A8))))</f>
        <v>1.3357545877873335E-6</v>
      </c>
      <c r="F8" s="3">
        <f>('Exceedance results'!F3-'Exceedance results'!F4)*(MIN(1,MAX(0,F$3*EXP(F$4/$A8))))</f>
        <v>1.4545000416471735E-6</v>
      </c>
      <c r="G8" s="3">
        <f>('Exceedance results'!G3-'Exceedance results'!G4)*(MIN(1,MAX(0,G$3*EXP(G$4/$A8))))</f>
        <v>1.4119214523212966E-6</v>
      </c>
      <c r="H8" s="3">
        <f>('Exceedance results'!H3-'Exceedance results'!H4)*(MIN(1,MAX(0,H$3*EXP(H$4/$A8))))</f>
        <v>1.4414274313867001E-6</v>
      </c>
      <c r="I8" s="3">
        <f>('Exceedance results'!I3-'Exceedance results'!I4)*(MIN(1,MAX(0,I$3*EXP(I$4/$A8))))</f>
        <v>1.3454798410632544E-6</v>
      </c>
      <c r="J8" s="3">
        <f>('Exceedance results'!J3-'Exceedance results'!J4)*(MIN(1,MAX(0,J$3*EXP(J$4/$A8))))</f>
        <v>1.2626905122113147E-6</v>
      </c>
      <c r="K8" s="3">
        <f>('Exceedance results'!K3-'Exceedance results'!K4)*(MIN(1,MAX(0,K$3*EXP(K$4/$A8))))</f>
        <v>1.2996559828937799E-6</v>
      </c>
      <c r="L8" s="3">
        <f>('Exceedance results'!L3-'Exceedance results'!L4)*(MIN(1,MAX(0,L$3*EXP(L$4/$A8))))</f>
        <v>0</v>
      </c>
    </row>
    <row r="9" spans="1:12" x14ac:dyDescent="0.2">
      <c r="A9" s="4">
        <f>'Exceedance results'!A4</f>
        <v>30</v>
      </c>
      <c r="B9" s="3">
        <f>('Exceedance results'!B4-'Exceedance results'!B5)*(MIN(1,MAX(0,B$3*EXP(B$4/$A9))))</f>
        <v>4.280569699579797E-6</v>
      </c>
      <c r="C9" s="3">
        <f>('Exceedance results'!C4-'Exceedance results'!C5)*(MIN(1,MAX(0,C$3*EXP(C$4/$A9))))</f>
        <v>4.1300103418040549E-6</v>
      </c>
      <c r="D9" s="3">
        <f>('Exceedance results'!D4-'Exceedance results'!D5)*(MIN(1,MAX(0,D$3*EXP(D$4/$A9))))</f>
        <v>4.5105001914129648E-6</v>
      </c>
      <c r="E9" s="3">
        <f>('Exceedance results'!E4-'Exceedance results'!E5)*(MIN(1,MAX(0,E$3*EXP(E$4/$A9))))</f>
        <v>4.4665396618747598E-6</v>
      </c>
      <c r="F9" s="3">
        <f>('Exceedance results'!F4-'Exceedance results'!F5)*(MIN(1,MAX(0,F$3*EXP(F$4/$A9))))</f>
        <v>4.0851150161146403E-6</v>
      </c>
      <c r="G9" s="3">
        <f>('Exceedance results'!G4-'Exceedance results'!G5)*(MIN(1,MAX(0,G$3*EXP(G$4/$A9))))</f>
        <v>3.7364777076769854E-6</v>
      </c>
      <c r="H9" s="3">
        <f>('Exceedance results'!H4-'Exceedance results'!H5)*(MIN(1,MAX(0,H$3*EXP(H$4/$A9))))</f>
        <v>3.5373159016675754E-6</v>
      </c>
      <c r="I9" s="3">
        <f>('Exceedance results'!I4-'Exceedance results'!I5)*(MIN(1,MAX(0,I$3*EXP(I$4/$A9))))</f>
        <v>3.2986763750422858E-6</v>
      </c>
      <c r="J9" s="3">
        <f>('Exceedance results'!J4-'Exceedance results'!J5)*(MIN(1,MAX(0,J$3*EXP(J$4/$A9))))</f>
        <v>3.7165193712233122E-6</v>
      </c>
      <c r="K9" s="3">
        <f>('Exceedance results'!K4-'Exceedance results'!K5)*(MIN(1,MAX(0,K$3*EXP(K$4/$A9))))</f>
        <v>3.2284218646627313E-6</v>
      </c>
      <c r="L9" s="3">
        <f>('Exceedance results'!L4-'Exceedance results'!L5)*(MIN(1,MAX(0,L$3*EXP(L$4/$A9))))</f>
        <v>0</v>
      </c>
    </row>
    <row r="10" spans="1:12" x14ac:dyDescent="0.2">
      <c r="A10" s="4">
        <f>'Exceedance results'!A5</f>
        <v>40</v>
      </c>
      <c r="B10" s="3">
        <f>('Exceedance results'!B5-'Exceedance results'!B6)*(MIN(1,MAX(0,B$3*EXP(B$4/$A10))))</f>
        <v>7.6866526328028624E-6</v>
      </c>
      <c r="C10" s="3">
        <f>('Exceedance results'!C5-'Exceedance results'!C6)*(MIN(1,MAX(0,C$3*EXP(C$4/$A10))))</f>
        <v>6.9216999267186838E-6</v>
      </c>
      <c r="D10" s="3">
        <f>('Exceedance results'!D5-'Exceedance results'!D6)*(MIN(1,MAX(0,D$3*EXP(D$4/$A10))))</f>
        <v>6.7882441712450321E-6</v>
      </c>
      <c r="E10" s="3">
        <f>('Exceedance results'!E5-'Exceedance results'!E6)*(MIN(1,MAX(0,E$3*EXP(E$4/$A10))))</f>
        <v>5.9675924114184596E-6</v>
      </c>
      <c r="F10" s="3">
        <f>('Exceedance results'!F5-'Exceedance results'!F6)*(MIN(1,MAX(0,F$3*EXP(F$4/$A10))))</f>
        <v>6.0305437656847901E-6</v>
      </c>
      <c r="G10" s="3">
        <f>('Exceedance results'!G5-'Exceedance results'!G6)*(MIN(1,MAX(0,G$3*EXP(G$4/$A10))))</f>
        <v>5.4797921217001305E-6</v>
      </c>
      <c r="H10" s="3">
        <f>('Exceedance results'!H5-'Exceedance results'!H6)*(MIN(1,MAX(0,H$3*EXP(H$4/$A10))))</f>
        <v>6.2849732594502713E-6</v>
      </c>
      <c r="I10" s="3">
        <f>('Exceedance results'!I5-'Exceedance results'!I6)*(MIN(1,MAX(0,I$3*EXP(I$4/$A10))))</f>
        <v>5.7009867624377477E-6</v>
      </c>
      <c r="J10" s="3">
        <f>('Exceedance results'!J5-'Exceedance results'!J6)*(MIN(1,MAX(0,J$3*EXP(J$4/$A10))))</f>
        <v>5.5826913166351072E-6</v>
      </c>
      <c r="K10" s="3">
        <f>('Exceedance results'!K5-'Exceedance results'!K6)*(MIN(1,MAX(0,K$3*EXP(K$4/$A10))))</f>
        <v>6.0865454134481283E-6</v>
      </c>
      <c r="L10" s="3">
        <f>('Exceedance results'!L5-'Exceedance results'!L6)*(MIN(1,MAX(0,L$3*EXP(L$4/$A10))))</f>
        <v>0</v>
      </c>
    </row>
    <row r="11" spans="1:12" x14ac:dyDescent="0.2">
      <c r="A11" s="4">
        <f>'Exceedance results'!A6</f>
        <v>50</v>
      </c>
      <c r="B11" s="3">
        <f>('Exceedance results'!B6-'Exceedance results'!B7)*(MIN(1,MAX(0,B$3*EXP(B$4/$A11))))</f>
        <v>8.2793752964994132E-6</v>
      </c>
      <c r="C11" s="3">
        <f>('Exceedance results'!C6-'Exceedance results'!C7)*(MIN(1,MAX(0,C$3*EXP(C$4/$A11))))</f>
        <v>8.1453504708614529E-6</v>
      </c>
      <c r="D11" s="3">
        <f>('Exceedance results'!D6-'Exceedance results'!D7)*(MIN(1,MAX(0,D$3*EXP(D$4/$A11))))</f>
        <v>7.2669769553666242E-6</v>
      </c>
      <c r="E11" s="3">
        <f>('Exceedance results'!E6-'Exceedance results'!E7)*(MIN(1,MAX(0,E$3*EXP(E$4/$A11))))</f>
        <v>6.1621590614235839E-6</v>
      </c>
      <c r="F11" s="3">
        <f>('Exceedance results'!F6-'Exceedance results'!F7)*(MIN(1,MAX(0,F$3*EXP(F$4/$A11))))</f>
        <v>6.6648780081032162E-6</v>
      </c>
      <c r="G11" s="3">
        <f>('Exceedance results'!G6-'Exceedance results'!G7)*(MIN(1,MAX(0,G$3*EXP(G$4/$A11))))</f>
        <v>7.5029039407218992E-6</v>
      </c>
      <c r="H11" s="3">
        <f>('Exceedance results'!H6-'Exceedance results'!H7)*(MIN(1,MAX(0,H$3*EXP(H$4/$A11))))</f>
        <v>6.0228537622511514E-6</v>
      </c>
      <c r="I11" s="3">
        <f>('Exceedance results'!I6-'Exceedance results'!I7)*(MIN(1,MAX(0,I$3*EXP(I$4/$A11))))</f>
        <v>7.9575266838199482E-6</v>
      </c>
      <c r="J11" s="3">
        <f>('Exceedance results'!J6-'Exceedance results'!J7)*(MIN(1,MAX(0,J$3*EXP(J$4/$A11))))</f>
        <v>6.7793087058712379E-6</v>
      </c>
      <c r="K11" s="3">
        <f>('Exceedance results'!K6-'Exceedance results'!K7)*(MIN(1,MAX(0,K$3*EXP(K$4/$A11))))</f>
        <v>7.8319165355310929E-6</v>
      </c>
      <c r="L11" s="3">
        <f>('Exceedance results'!L6-'Exceedance results'!L7)*(MIN(1,MAX(0,L$3*EXP(L$4/$A11))))</f>
        <v>0</v>
      </c>
    </row>
    <row r="12" spans="1:12" x14ac:dyDescent="0.2">
      <c r="A12" s="4">
        <f>'Exceedance results'!A7</f>
        <v>60</v>
      </c>
      <c r="B12" s="3">
        <f>('Exceedance results'!B7-'Exceedance results'!B8)*(MIN(1,MAX(0,B$3*EXP(B$4/$A12))))</f>
        <v>7.5775334970660183E-6</v>
      </c>
      <c r="C12" s="3">
        <f>('Exceedance results'!C7-'Exceedance results'!C8)*(MIN(1,MAX(0,C$3*EXP(C$4/$A12))))</f>
        <v>7.7629795976465348E-6</v>
      </c>
      <c r="D12" s="3">
        <f>('Exceedance results'!D7-'Exceedance results'!D8)*(MIN(1,MAX(0,D$3*EXP(D$4/$A12))))</f>
        <v>7.783877123861786E-6</v>
      </c>
      <c r="E12" s="3">
        <f>('Exceedance results'!E7-'Exceedance results'!E8)*(MIN(1,MAX(0,E$3*EXP(E$4/$A12))))</f>
        <v>1.0076115475862689E-5</v>
      </c>
      <c r="F12" s="3">
        <f>('Exceedance results'!F7-'Exceedance results'!F8)*(MIN(1,MAX(0,F$3*EXP(F$4/$A12))))</f>
        <v>7.1164320847959891E-6</v>
      </c>
      <c r="G12" s="3">
        <f>('Exceedance results'!G7-'Exceedance results'!G8)*(MIN(1,MAX(0,G$3*EXP(G$4/$A12))))</f>
        <v>7.3135886560334613E-6</v>
      </c>
      <c r="H12" s="3">
        <f>('Exceedance results'!H7-'Exceedance results'!H8)*(MIN(1,MAX(0,H$3*EXP(H$4/$A12))))</f>
        <v>7.9617741715517608E-6</v>
      </c>
      <c r="I12" s="3">
        <f>('Exceedance results'!I7-'Exceedance results'!I8)*(MIN(1,MAX(0,I$3*EXP(I$4/$A12))))</f>
        <v>7.7288535985547137E-6</v>
      </c>
      <c r="J12" s="3">
        <f>('Exceedance results'!J7-'Exceedance results'!J8)*(MIN(1,MAX(0,J$3*EXP(J$4/$A12))))</f>
        <v>8.2680975959551596E-6</v>
      </c>
      <c r="K12" s="3">
        <f>('Exceedance results'!K7-'Exceedance results'!K8)*(MIN(1,MAX(0,K$3*EXP(K$4/$A12))))</f>
        <v>8.736388617804038E-6</v>
      </c>
      <c r="L12" s="3">
        <f>('Exceedance results'!L7-'Exceedance results'!L8)*(MIN(1,MAX(0,L$3*EXP(L$4/$A12))))</f>
        <v>0</v>
      </c>
    </row>
    <row r="13" spans="1:12" x14ac:dyDescent="0.2">
      <c r="A13" s="4">
        <f>'Exceedance results'!A8</f>
        <v>70</v>
      </c>
      <c r="B13" s="3">
        <f>('Exceedance results'!B8-'Exceedance results'!B9)*(MIN(1,MAX(0,B$3*EXP(B$4/$A13))))</f>
        <v>9.3819691559384822E-6</v>
      </c>
      <c r="C13" s="3">
        <f>('Exceedance results'!C8-'Exceedance results'!C9)*(MIN(1,MAX(0,C$3*EXP(C$4/$A13))))</f>
        <v>7.9670596326586389E-6</v>
      </c>
      <c r="D13" s="3">
        <f>('Exceedance results'!D8-'Exceedance results'!D9)*(MIN(1,MAX(0,D$3*EXP(D$4/$A13))))</f>
        <v>7.9126432886420694E-6</v>
      </c>
      <c r="E13" s="3">
        <f>('Exceedance results'!E8-'Exceedance results'!E9)*(MIN(1,MAX(0,E$3*EXP(E$4/$A13))))</f>
        <v>7.3292166225701324E-6</v>
      </c>
      <c r="F13" s="3">
        <f>('Exceedance results'!F8-'Exceedance results'!F9)*(MIN(1,MAX(0,F$3*EXP(F$4/$A13))))</f>
        <v>9.6863332811925677E-6</v>
      </c>
      <c r="G13" s="3">
        <f>('Exceedance results'!G8-'Exceedance results'!G9)*(MIN(1,MAX(0,G$3*EXP(G$4/$A13))))</f>
        <v>8.7028289486503658E-6</v>
      </c>
      <c r="H13" s="3">
        <f>('Exceedance results'!H8-'Exceedance results'!H9)*(MIN(1,MAX(0,H$3*EXP(H$4/$A13))))</f>
        <v>9.0080448664242346E-6</v>
      </c>
      <c r="I13" s="3">
        <f>('Exceedance results'!I8-'Exceedance results'!I9)*(MIN(1,MAX(0,I$3*EXP(I$4/$A13))))</f>
        <v>7.4371888026833154E-6</v>
      </c>
      <c r="J13" s="3">
        <f>('Exceedance results'!J8-'Exceedance results'!J9)*(MIN(1,MAX(0,J$3*EXP(J$4/$A13))))</f>
        <v>9.4656924076538992E-6</v>
      </c>
      <c r="K13" s="3">
        <f>('Exceedance results'!K8-'Exceedance results'!K9)*(MIN(1,MAX(0,K$3*EXP(K$4/$A13))))</f>
        <v>8.82114670166734E-6</v>
      </c>
      <c r="L13" s="3">
        <f>('Exceedance results'!L8-'Exceedance results'!L9)*(MIN(1,MAX(0,L$3*EXP(L$4/$A13))))</f>
        <v>0</v>
      </c>
    </row>
    <row r="14" spans="1:12" x14ac:dyDescent="0.2">
      <c r="A14" s="4">
        <f>'Exceedance results'!A9</f>
        <v>80</v>
      </c>
      <c r="B14" s="3">
        <f>('Exceedance results'!B9-'Exceedance results'!B10)*(MIN(1,MAX(0,B$3*EXP(B$4/$A14))))</f>
        <v>8.5021481405672478E-6</v>
      </c>
      <c r="C14" s="3">
        <f>('Exceedance results'!C9-'Exceedance results'!C10)*(MIN(1,MAX(0,C$3*EXP(C$4/$A14))))</f>
        <v>8.8698838741155532E-6</v>
      </c>
      <c r="D14" s="3">
        <f>('Exceedance results'!D9-'Exceedance results'!D10)*(MIN(1,MAX(0,D$3*EXP(D$4/$A14))))</f>
        <v>8.5629711709228223E-6</v>
      </c>
      <c r="E14" s="3">
        <f>('Exceedance results'!E9-'Exceedance results'!E10)*(MIN(1,MAX(0,E$3*EXP(E$4/$A14))))</f>
        <v>8.2054178048220896E-6</v>
      </c>
      <c r="F14" s="3">
        <f>('Exceedance results'!F9-'Exceedance results'!F10)*(MIN(1,MAX(0,F$3*EXP(F$4/$A14))))</f>
        <v>8.8022256557406106E-6</v>
      </c>
      <c r="G14" s="3">
        <f>('Exceedance results'!G9-'Exceedance results'!G10)*(MIN(1,MAX(0,G$3*EXP(G$4/$A14))))</f>
        <v>7.8878474415449087E-6</v>
      </c>
      <c r="H14" s="3">
        <f>('Exceedance results'!H9-'Exceedance results'!H10)*(MIN(1,MAX(0,H$3*EXP(H$4/$A14))))</f>
        <v>8.1864852814775942E-6</v>
      </c>
      <c r="I14" s="3">
        <f>('Exceedance results'!I9-'Exceedance results'!I10)*(MIN(1,MAX(0,I$3*EXP(I$4/$A14))))</f>
        <v>1.0285180086204078E-5</v>
      </c>
      <c r="J14" s="3">
        <f>('Exceedance results'!J9-'Exceedance results'!J10)*(MIN(1,MAX(0,J$3*EXP(J$4/$A14))))</f>
        <v>9.4788318929653108E-6</v>
      </c>
      <c r="K14" s="3">
        <f>('Exceedance results'!K9-'Exceedance results'!K10)*(MIN(1,MAX(0,K$3*EXP(K$4/$A14))))</f>
        <v>9.2412303273548519E-6</v>
      </c>
      <c r="L14" s="3">
        <f>('Exceedance results'!L9-'Exceedance results'!L10)*(MIN(1,MAX(0,L$3*EXP(L$4/$A14))))</f>
        <v>0</v>
      </c>
    </row>
    <row r="15" spans="1:12" x14ac:dyDescent="0.2">
      <c r="A15" s="4">
        <f>'Exceedance results'!A10</f>
        <v>90</v>
      </c>
      <c r="B15" s="3">
        <f>('Exceedance results'!B10-'Exceedance results'!B11)*(MIN(1,MAX(0,B$3*EXP(B$4/$A15))))</f>
        <v>7.9204099062810546E-6</v>
      </c>
      <c r="C15" s="3">
        <f>('Exceedance results'!C10-'Exceedance results'!C11)*(MIN(1,MAX(0,C$3*EXP(C$4/$A15))))</f>
        <v>8.1346321495540473E-6</v>
      </c>
      <c r="D15" s="3">
        <f>('Exceedance results'!D10-'Exceedance results'!D11)*(MIN(1,MAX(0,D$3*EXP(D$4/$A15))))</f>
        <v>8.8087604529332858E-6</v>
      </c>
      <c r="E15" s="3">
        <f>('Exceedance results'!E10-'Exceedance results'!E11)*(MIN(1,MAX(0,E$3*EXP(E$4/$A15))))</f>
        <v>8.9583039591009866E-6</v>
      </c>
      <c r="F15" s="3">
        <f>('Exceedance results'!F10-'Exceedance results'!F11)*(MIN(1,MAX(0,F$3*EXP(F$4/$A15))))</f>
        <v>8.1292839924406136E-6</v>
      </c>
      <c r="G15" s="3">
        <f>('Exceedance results'!G10-'Exceedance results'!G11)*(MIN(1,MAX(0,G$3*EXP(G$4/$A15))))</f>
        <v>8.9075165013529649E-6</v>
      </c>
      <c r="H15" s="3">
        <f>('Exceedance results'!H10-'Exceedance results'!H11)*(MIN(1,MAX(0,H$3*EXP(H$4/$A15))))</f>
        <v>1.0432115367258045E-5</v>
      </c>
      <c r="I15" s="3">
        <f>('Exceedance results'!I10-'Exceedance results'!I11)*(MIN(1,MAX(0,I$3*EXP(I$4/$A15))))</f>
        <v>9.4152375173032485E-6</v>
      </c>
      <c r="J15" s="3">
        <f>('Exceedance results'!J10-'Exceedance results'!J11)*(MIN(1,MAX(0,J$3*EXP(J$4/$A15))))</f>
        <v>7.6290738698991563E-6</v>
      </c>
      <c r="K15" s="3">
        <f>('Exceedance results'!K10-'Exceedance results'!K11)*(MIN(1,MAX(0,K$3*EXP(K$4/$A15))))</f>
        <v>6.7272733329925339E-6</v>
      </c>
      <c r="L15" s="3">
        <f>('Exceedance results'!L10-'Exceedance results'!L11)*(MIN(1,MAX(0,L$3*EXP(L$4/$A15))))</f>
        <v>0</v>
      </c>
    </row>
    <row r="16" spans="1:12" x14ac:dyDescent="0.2">
      <c r="A16" s="4">
        <f>'Exceedance results'!A11</f>
        <v>100</v>
      </c>
      <c r="B16" s="3">
        <f>('Exceedance results'!B11-'Exceedance results'!B12)*(MIN(1,MAX(0,B$3*EXP(B$4/$A16))))</f>
        <v>1.6184759738355628E-5</v>
      </c>
      <c r="C16" s="3">
        <f>('Exceedance results'!C11-'Exceedance results'!C12)*(MIN(1,MAX(0,C$3*EXP(C$4/$A16))))</f>
        <v>1.7124339576531774E-5</v>
      </c>
      <c r="D16" s="3">
        <f>('Exceedance results'!D11-'Exceedance results'!D12)*(MIN(1,MAX(0,D$3*EXP(D$4/$A16))))</f>
        <v>1.4949622376192148E-5</v>
      </c>
      <c r="E16" s="3">
        <f>('Exceedance results'!E11-'Exceedance results'!E12)*(MIN(1,MAX(0,E$3*EXP(E$4/$A16))))</f>
        <v>1.4370664890176055E-5</v>
      </c>
      <c r="F16" s="3">
        <f>('Exceedance results'!F11-'Exceedance results'!F12)*(MIN(1,MAX(0,F$3*EXP(F$4/$A16))))</f>
        <v>1.4514875167594871E-5</v>
      </c>
      <c r="G16" s="3">
        <f>('Exceedance results'!G11-'Exceedance results'!G12)*(MIN(1,MAX(0,G$3*EXP(G$4/$A16))))</f>
        <v>1.8529954612334173E-5</v>
      </c>
      <c r="H16" s="3">
        <f>('Exceedance results'!H11-'Exceedance results'!H12)*(MIN(1,MAX(0,H$3*EXP(H$4/$A16))))</f>
        <v>1.4210791770651517E-5</v>
      </c>
      <c r="I16" s="3">
        <f>('Exceedance results'!I11-'Exceedance results'!I12)*(MIN(1,MAX(0,I$3*EXP(I$4/$A16))))</f>
        <v>1.3266200852040316E-5</v>
      </c>
      <c r="J16" s="3">
        <f>('Exceedance results'!J11-'Exceedance results'!J12)*(MIN(1,MAX(0,J$3*EXP(J$4/$A16))))</f>
        <v>1.0594654250929609E-5</v>
      </c>
      <c r="K16" s="3">
        <f>('Exceedance results'!K11-'Exceedance results'!K12)*(MIN(1,MAX(0,K$3*EXP(K$4/$A16))))</f>
        <v>8.022495627102819E-6</v>
      </c>
      <c r="L16" s="3">
        <f>('Exceedance results'!L11-'Exceedance results'!L12)*(MIN(1,MAX(0,L$3*EXP(L$4/$A16))))</f>
        <v>0</v>
      </c>
    </row>
    <row r="17" spans="1:12" x14ac:dyDescent="0.2">
      <c r="A17" s="4">
        <f>'Exceedance results'!A12</f>
        <v>120</v>
      </c>
      <c r="B17" s="3">
        <f>('Exceedance results'!B12-'Exceedance results'!B13)*(MIN(1,MAX(0,B$3*EXP(B$4/$A17))))</f>
        <v>1.4946432701497246E-5</v>
      </c>
      <c r="C17" s="3">
        <f>('Exceedance results'!C12-'Exceedance results'!C13)*(MIN(1,MAX(0,C$3*EXP(C$4/$A17))))</f>
        <v>1.417529434455564E-5</v>
      </c>
      <c r="D17" s="3">
        <f>('Exceedance results'!D12-'Exceedance results'!D13)*(MIN(1,MAX(0,D$3*EXP(D$4/$A17))))</f>
        <v>1.4109821638012178E-5</v>
      </c>
      <c r="E17" s="3">
        <f>('Exceedance results'!E12-'Exceedance results'!E13)*(MIN(1,MAX(0,E$3*EXP(E$4/$A17))))</f>
        <v>1.4567558954917133E-5</v>
      </c>
      <c r="F17" s="3">
        <f>('Exceedance results'!F12-'Exceedance results'!F13)*(MIN(1,MAX(0,F$3*EXP(F$4/$A17))))</f>
        <v>1.6341501069434579E-5</v>
      </c>
      <c r="G17" s="3">
        <f>('Exceedance results'!G12-'Exceedance results'!G13)*(MIN(1,MAX(0,G$3*EXP(G$4/$A17))))</f>
        <v>1.1559532784354617E-5</v>
      </c>
      <c r="H17" s="3">
        <f>('Exceedance results'!H12-'Exceedance results'!H13)*(MIN(1,MAX(0,H$3*EXP(H$4/$A17))))</f>
        <v>1.0223230854483038E-5</v>
      </c>
      <c r="I17" s="3">
        <f>('Exceedance results'!I12-'Exceedance results'!I13)*(MIN(1,MAX(0,I$3*EXP(I$4/$A17))))</f>
        <v>7.1733076910985985E-6</v>
      </c>
      <c r="J17" s="3">
        <f>('Exceedance results'!J12-'Exceedance results'!J13)*(MIN(1,MAX(0,J$3*EXP(J$4/$A17))))</f>
        <v>5.5569925155243468E-6</v>
      </c>
      <c r="K17" s="3">
        <f>('Exceedance results'!K12-'Exceedance results'!K13)*(MIN(1,MAX(0,K$3*EXP(K$4/$A17))))</f>
        <v>3.2631634886928912E-6</v>
      </c>
      <c r="L17" s="3">
        <f>('Exceedance results'!L12-'Exceedance results'!L13)*(MIN(1,MAX(0,L$3*EXP(L$4/$A17))))</f>
        <v>0</v>
      </c>
    </row>
    <row r="18" spans="1:12" x14ac:dyDescent="0.2">
      <c r="A18" s="4">
        <f>'Exceedance results'!A13</f>
        <v>140</v>
      </c>
      <c r="B18" s="3">
        <f>('Exceedance results'!B13-'Exceedance results'!B14)*(MIN(1,MAX(0,B$3*EXP(B$4/$A18))))</f>
        <v>1.4098516431507219E-5</v>
      </c>
      <c r="C18" s="3">
        <f>('Exceedance results'!C13-'Exceedance results'!C14)*(MIN(1,MAX(0,C$3*EXP(C$4/$A18))))</f>
        <v>1.0047456851061215E-5</v>
      </c>
      <c r="D18" s="3">
        <f>('Exceedance results'!D13-'Exceedance results'!D14)*(MIN(1,MAX(0,D$3*EXP(D$4/$A18))))</f>
        <v>1.4307853040693601E-5</v>
      </c>
      <c r="E18" s="3">
        <f>('Exceedance results'!E13-'Exceedance results'!E14)*(MIN(1,MAX(0,E$3*EXP(E$4/$A18))))</f>
        <v>1.2125190039879322E-5</v>
      </c>
      <c r="F18" s="3">
        <f>('Exceedance results'!F13-'Exceedance results'!F14)*(MIN(1,MAX(0,F$3*EXP(F$4/$A18))))</f>
        <v>9.8747742576099493E-6</v>
      </c>
      <c r="G18" s="3">
        <f>('Exceedance results'!G13-'Exceedance results'!G14)*(MIN(1,MAX(0,G$3*EXP(G$4/$A18))))</f>
        <v>7.985894303856952E-6</v>
      </c>
      <c r="H18" s="3">
        <f>('Exceedance results'!H13-'Exceedance results'!H14)*(MIN(1,MAX(0,H$3*EXP(H$4/$A18))))</f>
        <v>5.3592071266546507E-6</v>
      </c>
      <c r="I18" s="3">
        <f>('Exceedance results'!I13-'Exceedance results'!I14)*(MIN(1,MAX(0,I$3*EXP(I$4/$A18))))</f>
        <v>3.4799729294419349E-6</v>
      </c>
      <c r="J18" s="3">
        <f>('Exceedance results'!J13-'Exceedance results'!J14)*(MIN(1,MAX(0,J$3*EXP(J$4/$A18))))</f>
        <v>2.1993444296445476E-6</v>
      </c>
      <c r="K18" s="3">
        <f>('Exceedance results'!K13-'Exceedance results'!K14)*(MIN(1,MAX(0,K$3*EXP(K$4/$A18))))</f>
        <v>1.066216292132764E-6</v>
      </c>
      <c r="L18" s="3">
        <f>('Exceedance results'!L13-'Exceedance results'!L14)*(MIN(1,MAX(0,L$3*EXP(L$4/$A18))))</f>
        <v>0</v>
      </c>
    </row>
    <row r="19" spans="1:12" x14ac:dyDescent="0.2">
      <c r="A19" s="4">
        <f>'Exceedance results'!A14</f>
        <v>160</v>
      </c>
      <c r="B19" s="3">
        <f>('Exceedance results'!B14-'Exceedance results'!B15)*(MIN(1,MAX(0,B$3*EXP(B$4/$A19))))</f>
        <v>8.7942372592991663E-6</v>
      </c>
      <c r="C19" s="3">
        <f>('Exceedance results'!C14-'Exceedance results'!C15)*(MIN(1,MAX(0,C$3*EXP(C$4/$A19))))</f>
        <v>1.2302587538012112E-5</v>
      </c>
      <c r="D19" s="3">
        <f>('Exceedance results'!D14-'Exceedance results'!D15)*(MIN(1,MAX(0,D$3*EXP(D$4/$A19))))</f>
        <v>9.651741459870533E-6</v>
      </c>
      <c r="E19" s="3">
        <f>('Exceedance results'!E14-'Exceedance results'!E15)*(MIN(1,MAX(0,E$3*EXP(E$4/$A19))))</f>
        <v>1.1491940009973324E-5</v>
      </c>
      <c r="F19" s="3">
        <f>('Exceedance results'!F14-'Exceedance results'!F15)*(MIN(1,MAX(0,F$3*EXP(F$4/$A19))))</f>
        <v>6.3891503834178548E-6</v>
      </c>
      <c r="G19" s="3">
        <f>('Exceedance results'!G14-'Exceedance results'!G15)*(MIN(1,MAX(0,G$3*EXP(G$4/$A19))))</f>
        <v>4.059959839535987E-6</v>
      </c>
      <c r="H19" s="3">
        <f>('Exceedance results'!H14-'Exceedance results'!H15)*(MIN(1,MAX(0,H$3*EXP(H$4/$A19))))</f>
        <v>2.7331656361465865E-6</v>
      </c>
      <c r="I19" s="3">
        <f>('Exceedance results'!I14-'Exceedance results'!I15)*(MIN(1,MAX(0,I$3*EXP(I$4/$A19))))</f>
        <v>1.782937324969282E-6</v>
      </c>
      <c r="J19" s="3">
        <f>('Exceedance results'!J14-'Exceedance results'!J15)*(MIN(1,MAX(0,J$3*EXP(J$4/$A19))))</f>
        <v>9.4533449754158965E-7</v>
      </c>
      <c r="K19" s="3">
        <f>('Exceedance results'!K14-'Exceedance results'!K15)*(MIN(1,MAX(0,K$3*EXP(K$4/$A19))))</f>
        <v>4.9945728434359213E-7</v>
      </c>
      <c r="L19" s="3">
        <f>('Exceedance results'!L14-'Exceedance results'!L15)*(MIN(1,MAX(0,L$3*EXP(L$4/$A19))))</f>
        <v>0</v>
      </c>
    </row>
    <row r="20" spans="1:12" x14ac:dyDescent="0.2">
      <c r="A20" s="4">
        <f>'Exceedance results'!A15</f>
        <v>180</v>
      </c>
      <c r="B20" s="3">
        <f>('Exceedance results'!B15-'Exceedance results'!B16)*(MIN(1,MAX(0,B$3*EXP(B$4/$A20))))</f>
        <v>8.4431138952349727E-6</v>
      </c>
      <c r="C20" s="3">
        <f>('Exceedance results'!C15-'Exceedance results'!C16)*(MIN(1,MAX(0,C$3*EXP(C$4/$A20))))</f>
        <v>1.362075428518859E-5</v>
      </c>
      <c r="D20" s="3">
        <f>('Exceedance results'!D15-'Exceedance results'!D16)*(MIN(1,MAX(0,D$3*EXP(D$4/$A20))))</f>
        <v>1.0358444300956824E-5</v>
      </c>
      <c r="E20" s="3">
        <f>('Exceedance results'!E15-'Exceedance results'!E16)*(MIN(1,MAX(0,E$3*EXP(E$4/$A20))))</f>
        <v>5.4131487970529597E-6</v>
      </c>
      <c r="F20" s="3">
        <f>('Exceedance results'!F15-'Exceedance results'!F16)*(MIN(1,MAX(0,F$3*EXP(F$4/$A20))))</f>
        <v>4.3116989646730081E-6</v>
      </c>
      <c r="G20" s="3">
        <f>('Exceedance results'!G15-'Exceedance results'!G16)*(MIN(1,MAX(0,G$3*EXP(G$4/$A20))))</f>
        <v>2.1698795761766252E-6</v>
      </c>
      <c r="H20" s="3">
        <f>('Exceedance results'!H15-'Exceedance results'!H16)*(MIN(1,MAX(0,H$3*EXP(H$4/$A20))))</f>
        <v>1.0410544828907389E-6</v>
      </c>
      <c r="I20" s="3">
        <f>('Exceedance results'!I15-'Exceedance results'!I16)*(MIN(1,MAX(0,I$3*EXP(I$4/$A20))))</f>
        <v>6.0144327887086522E-7</v>
      </c>
      <c r="J20" s="3">
        <f>('Exceedance results'!J15-'Exceedance results'!J16)*(MIN(1,MAX(0,J$3*EXP(J$4/$A20))))</f>
        <v>2.2852926740764068E-7</v>
      </c>
      <c r="K20" s="3">
        <f>('Exceedance results'!K15-'Exceedance results'!K16)*(MIN(1,MAX(0,K$3*EXP(K$4/$A20))))</f>
        <v>2.2700112343924607E-7</v>
      </c>
      <c r="L20" s="3">
        <f>('Exceedance results'!L15-'Exceedance results'!L16)*(MIN(1,MAX(0,L$3*EXP(L$4/$A20))))</f>
        <v>0</v>
      </c>
    </row>
    <row r="21" spans="1:12" x14ac:dyDescent="0.2">
      <c r="A21" s="4">
        <f>'Exceedance results'!A16</f>
        <v>200</v>
      </c>
      <c r="B21" s="3">
        <f>('Exceedance results'!B16-'Exceedance results'!B17)*(MIN(1,MAX(0,B$3*EXP(B$4/$A21))))</f>
        <v>1.2126753568180008E-5</v>
      </c>
      <c r="C21" s="3">
        <f>('Exceedance results'!C16-'Exceedance results'!C17)*(MIN(1,MAX(0,C$3*EXP(C$4/$A21))))</f>
        <v>8.5457603949412388E-6</v>
      </c>
      <c r="D21" s="3">
        <f>('Exceedance results'!D16-'Exceedance results'!D17)*(MIN(1,MAX(0,D$3*EXP(D$4/$A21))))</f>
        <v>6.2612471486572686E-6</v>
      </c>
      <c r="E21" s="3">
        <f>('Exceedance results'!E16-'Exceedance results'!E17)*(MIN(1,MAX(0,E$3*EXP(E$4/$A21))))</f>
        <v>4.3692678828972976E-6</v>
      </c>
      <c r="F21" s="3">
        <f>('Exceedance results'!F16-'Exceedance results'!F17)*(MIN(1,MAX(0,F$3*EXP(F$4/$A21))))</f>
        <v>2.1233312812125501E-6</v>
      </c>
      <c r="G21" s="3">
        <f>('Exceedance results'!G16-'Exceedance results'!G17)*(MIN(1,MAX(0,G$3*EXP(G$4/$A21))))</f>
        <v>1.0441221629842847E-6</v>
      </c>
      <c r="H21" s="3">
        <f>('Exceedance results'!H16-'Exceedance results'!H17)*(MIN(1,MAX(0,H$3*EXP(H$4/$A21))))</f>
        <v>5.818276089716915E-7</v>
      </c>
      <c r="I21" s="3">
        <f>('Exceedance results'!I16-'Exceedance results'!I17)*(MIN(1,MAX(0,I$3*EXP(I$4/$A21))))</f>
        <v>2.4345165604280693E-7</v>
      </c>
      <c r="J21" s="3">
        <f>('Exceedance results'!J16-'Exceedance results'!J17)*(MIN(1,MAX(0,J$3*EXP(J$4/$A21))))</f>
        <v>2.541616147221494E-7</v>
      </c>
      <c r="K21" s="3">
        <f>('Exceedance results'!K16-'Exceedance results'!K17)*(MIN(1,MAX(0,K$3*EXP(K$4/$A21))))</f>
        <v>9.2619645256982809E-8</v>
      </c>
      <c r="L21" s="3">
        <f>('Exceedance results'!L16-'Exceedance results'!L17)*(MIN(1,MAX(0,L$3*EXP(L$4/$A21))))</f>
        <v>0</v>
      </c>
    </row>
    <row r="22" spans="1:12" x14ac:dyDescent="0.2">
      <c r="A22" s="4">
        <f>'Exceedance results'!A17</f>
        <v>220</v>
      </c>
      <c r="B22" s="3">
        <f>('Exceedance results'!B17-'Exceedance results'!B18)*(MIN(1,MAX(0,B$3*EXP(B$4/$A22))))</f>
        <v>1.0536566528336291E-5</v>
      </c>
      <c r="C22" s="3">
        <f>('Exceedance results'!C17-'Exceedance results'!C18)*(MIN(1,MAX(0,C$3*EXP(C$4/$A22))))</f>
        <v>7.0919274020003023E-6</v>
      </c>
      <c r="D22" s="3">
        <f>('Exceedance results'!D17-'Exceedance results'!D18)*(MIN(1,MAX(0,D$3*EXP(D$4/$A22))))</f>
        <v>3.9422880100493963E-6</v>
      </c>
      <c r="E22" s="3">
        <f>('Exceedance results'!E17-'Exceedance results'!E18)*(MIN(1,MAX(0,E$3*EXP(E$4/$A22))))</f>
        <v>1.7974449870546406E-6</v>
      </c>
      <c r="F22" s="3">
        <f>('Exceedance results'!F17-'Exceedance results'!F18)*(MIN(1,MAX(0,F$3*EXP(F$4/$A22))))</f>
        <v>1.0879992788413921E-6</v>
      </c>
      <c r="G22" s="3">
        <f>('Exceedance results'!G17-'Exceedance results'!G18)*(MIN(1,MAX(0,G$3*EXP(G$4/$A22))))</f>
        <v>6.5905550812978285E-7</v>
      </c>
      <c r="H22" s="3">
        <f>('Exceedance results'!H17-'Exceedance results'!H18)*(MIN(1,MAX(0,H$3*EXP(H$4/$A22))))</f>
        <v>2.5368221803687852E-7</v>
      </c>
      <c r="I22" s="3">
        <f>('Exceedance results'!I17-'Exceedance results'!I18)*(MIN(1,MAX(0,I$3*EXP(I$4/$A22))))</f>
        <v>2.2960655544950374E-7</v>
      </c>
      <c r="J22" s="3">
        <f>('Exceedance results'!J17-'Exceedance results'!J18)*(MIN(1,MAX(0,J$3*EXP(J$4/$A22))))</f>
        <v>4.670567122306201E-8</v>
      </c>
      <c r="K22" s="3">
        <f>('Exceedance results'!K17-'Exceedance results'!K18)*(MIN(1,MAX(0,K$3*EXP(K$4/$A22))))</f>
        <v>0</v>
      </c>
      <c r="L22" s="3">
        <f>('Exceedance results'!L17-'Exceedance results'!L18)*(MIN(1,MAX(0,L$3*EXP(L$4/$A22))))</f>
        <v>0</v>
      </c>
    </row>
    <row r="23" spans="1:12" x14ac:dyDescent="0.2">
      <c r="A23" s="4">
        <f>'Exceedance results'!A18</f>
        <v>240</v>
      </c>
      <c r="B23" s="3">
        <f>('Exceedance results'!B18-'Exceedance results'!B19)*(MIN(1,MAX(0,B$3*EXP(B$4/$A23))))</f>
        <v>7.5379707104626574E-6</v>
      </c>
      <c r="C23" s="3">
        <f>('Exceedance results'!C18-'Exceedance results'!C19)*(MIN(1,MAX(0,C$3*EXP(C$4/$A23))))</f>
        <v>3.6564329594304427E-6</v>
      </c>
      <c r="D23" s="3">
        <f>('Exceedance results'!D18-'Exceedance results'!D19)*(MIN(1,MAX(0,D$3*EXP(D$4/$A23))))</f>
        <v>2.6079947366189035E-6</v>
      </c>
      <c r="E23" s="3">
        <f>('Exceedance results'!E18-'Exceedance results'!E19)*(MIN(1,MAX(0,E$3*EXP(E$4/$A23))))</f>
        <v>1.4250544545268535E-6</v>
      </c>
      <c r="F23" s="3">
        <f>('Exceedance results'!F18-'Exceedance results'!F19)*(MIN(1,MAX(0,F$3*EXP(F$4/$A23))))</f>
        <v>5.8407477703268026E-7</v>
      </c>
      <c r="G23" s="3">
        <f>('Exceedance results'!G18-'Exceedance results'!G19)*(MIN(1,MAX(0,G$3*EXP(G$4/$A23))))</f>
        <v>2.2606998192084154E-7</v>
      </c>
      <c r="H23" s="3">
        <f>('Exceedance results'!H18-'Exceedance results'!H19)*(MIN(1,MAX(0,H$3*EXP(H$4/$A23))))</f>
        <v>1.8607518830850427E-7</v>
      </c>
      <c r="I23" s="3">
        <f>('Exceedance results'!I18-'Exceedance results'!I19)*(MIN(1,MAX(0,I$3*EXP(I$4/$A23))))</f>
        <v>4.83356276202617E-8</v>
      </c>
      <c r="J23" s="3">
        <f>('Exceedance results'!J18-'Exceedance results'!J19)*(MIN(1,MAX(0,J$3*EXP(J$4/$A23))))</f>
        <v>0</v>
      </c>
      <c r="K23" s="3">
        <f>('Exceedance results'!K18-'Exceedance results'!K19)*(MIN(1,MAX(0,K$3*EXP(K$4/$A23))))</f>
        <v>0</v>
      </c>
      <c r="L23" s="3">
        <f>('Exceedance results'!L18-'Exceedance results'!L19)*(MIN(1,MAX(0,L$3*EXP(L$4/$A23))))</f>
        <v>0</v>
      </c>
    </row>
    <row r="24" spans="1:12" x14ac:dyDescent="0.2">
      <c r="A24" s="4">
        <f>'Exceedance results'!A19</f>
        <v>260</v>
      </c>
      <c r="B24" s="3">
        <f>('Exceedance results'!B19-'Exceedance results'!B20)*(MIN(1,MAX(0,B$3*EXP(B$4/$A24))))</f>
        <v>5.958147801134712E-6</v>
      </c>
      <c r="C24" s="3">
        <f>('Exceedance results'!C19-'Exceedance results'!C20)*(MIN(1,MAX(0,C$3*EXP(C$4/$A24))))</f>
        <v>3.174960150684374E-6</v>
      </c>
      <c r="D24" s="3">
        <f>('Exceedance results'!D19-'Exceedance results'!D20)*(MIN(1,MAX(0,D$3*EXP(D$4/$A24))))</f>
        <v>1.8553830125723428E-6</v>
      </c>
      <c r="E24" s="3">
        <f>('Exceedance results'!E19-'Exceedance results'!E20)*(MIN(1,MAX(0,E$3*EXP(E$4/$A24))))</f>
        <v>7.8519622635691426E-7</v>
      </c>
      <c r="F24" s="3">
        <f>('Exceedance results'!F19-'Exceedance results'!F20)*(MIN(1,MAX(0,F$3*EXP(F$4/$A24))))</f>
        <v>2.4640368631217782E-7</v>
      </c>
      <c r="G24" s="3">
        <f>('Exceedance results'!G19-'Exceedance results'!G20)*(MIN(1,MAX(0,G$3*EXP(G$4/$A24))))</f>
        <v>2.2909464167833622E-7</v>
      </c>
      <c r="H24" s="3">
        <f>('Exceedance results'!H19-'Exceedance results'!H20)*(MIN(1,MAX(0,H$3*EXP(H$4/$A24))))</f>
        <v>1.0282149976917436E-7</v>
      </c>
      <c r="I24" s="3">
        <f>('Exceedance results'!I19-'Exceedance results'!I20)*(MIN(1,MAX(0,I$3*EXP(I$4/$A24))))</f>
        <v>0</v>
      </c>
      <c r="J24" s="3">
        <f>('Exceedance results'!J19-'Exceedance results'!J20)*(MIN(1,MAX(0,J$3*EXP(J$4/$A24))))</f>
        <v>0</v>
      </c>
      <c r="K24" s="3">
        <f>('Exceedance results'!K19-'Exceedance results'!K20)*(MIN(1,MAX(0,K$3*EXP(K$4/$A24))))</f>
        <v>0</v>
      </c>
      <c r="L24" s="3">
        <f>('Exceedance results'!L19-'Exceedance results'!L20)*(MIN(1,MAX(0,L$3*EXP(L$4/$A24))))</f>
        <v>0</v>
      </c>
    </row>
    <row r="25" spans="1:12" x14ac:dyDescent="0.2">
      <c r="A25" s="4">
        <f>'Exceedance results'!A20</f>
        <v>280</v>
      </c>
      <c r="B25" s="3">
        <f>('Exceedance results'!B20-'Exceedance results'!B21)*(MIN(1,MAX(0,B$3*EXP(B$4/$A25))))</f>
        <v>3.0173906550817046E-6</v>
      </c>
      <c r="C25" s="3">
        <f>('Exceedance results'!C20-'Exceedance results'!C21)*(MIN(1,MAX(0,C$3*EXP(C$4/$A25))))</f>
        <v>2.4998335146297605E-6</v>
      </c>
      <c r="D25" s="3">
        <f>('Exceedance results'!D20-'Exceedance results'!D21)*(MIN(1,MAX(0,D$3*EXP(D$4/$A25))))</f>
        <v>7.8797703239191476E-7</v>
      </c>
      <c r="E25" s="3">
        <f>('Exceedance results'!E20-'Exceedance results'!E21)*(MIN(1,MAX(0,E$3*EXP(E$4/$A25))))</f>
        <v>4.3479797261192964E-7</v>
      </c>
      <c r="F25" s="3">
        <f>('Exceedance results'!F20-'Exceedance results'!F21)*(MIN(1,MAX(0,F$3*EXP(F$4/$A25))))</f>
        <v>1.9930005297030646E-7</v>
      </c>
      <c r="G25" s="3">
        <f>('Exceedance results'!G20-'Exceedance results'!G21)*(MIN(1,MAX(0,G$3*EXP(G$4/$A25))))</f>
        <v>1.0541171802851109E-7</v>
      </c>
      <c r="H25" s="3">
        <f>('Exceedance results'!H20-'Exceedance results'!H21)*(MIN(1,MAX(0,H$3*EXP(H$4/$A25))))</f>
        <v>0</v>
      </c>
      <c r="I25" s="3">
        <f>('Exceedance results'!I20-'Exceedance results'!I21)*(MIN(1,MAX(0,I$3*EXP(I$4/$A25))))</f>
        <v>0</v>
      </c>
      <c r="J25" s="3">
        <f>('Exceedance results'!J20-'Exceedance results'!J21)*(MIN(1,MAX(0,J$3*EXP(J$4/$A25))))</f>
        <v>0</v>
      </c>
      <c r="K25" s="3">
        <f>('Exceedance results'!K20-'Exceedance results'!K21)*(MIN(1,MAX(0,K$3*EXP(K$4/$A25))))</f>
        <v>0</v>
      </c>
      <c r="L25" s="3">
        <f>('Exceedance results'!L20-'Exceedance results'!L21)*(MIN(1,MAX(0,L$3*EXP(L$4/$A25))))</f>
        <v>0</v>
      </c>
    </row>
    <row r="26" spans="1:12" x14ac:dyDescent="0.2">
      <c r="A26" s="4">
        <f>'Exceedance results'!A21</f>
        <v>300</v>
      </c>
      <c r="B26" s="3">
        <f>('Exceedance results'!B21-'Exceedance results'!B22)*(MIN(1,MAX(0,B$3*EXP(B$4/$A26))))</f>
        <v>3.1189409586560952E-6</v>
      </c>
      <c r="C26" s="3">
        <f>('Exceedance results'!C21-'Exceedance results'!C22)*(MIN(1,MAX(0,C$3*EXP(C$4/$A26))))</f>
        <v>1.4669549494246522E-6</v>
      </c>
      <c r="D26" s="3">
        <f>('Exceedance results'!D21-'Exceedance results'!D22)*(MIN(1,MAX(0,D$3*EXP(D$4/$A26))))</f>
        <v>8.3913891432844895E-7</v>
      </c>
      <c r="E26" s="3">
        <f>('Exceedance results'!E21-'Exceedance results'!E22)*(MIN(1,MAX(0,E$3*EXP(E$4/$A26))))</f>
        <v>2.4379115053975865E-7</v>
      </c>
      <c r="F26" s="3">
        <f>('Exceedance results'!F21-'Exceedance results'!F22)*(MIN(1,MAX(0,F$3*EXP(F$4/$A26))))</f>
        <v>1.8326125681377395E-7</v>
      </c>
      <c r="G26" s="3">
        <f>('Exceedance results'!G21-'Exceedance results'!G22)*(MIN(1,MAX(0,G$3*EXP(G$4/$A26))))</f>
        <v>0</v>
      </c>
      <c r="H26" s="3">
        <f>('Exceedance results'!H21-'Exceedance results'!H22)*(MIN(1,MAX(0,H$3*EXP(H$4/$A26))))</f>
        <v>0</v>
      </c>
      <c r="I26" s="3">
        <f>('Exceedance results'!I21-'Exceedance results'!I22)*(MIN(1,MAX(0,I$3*EXP(I$4/$A26))))</f>
        <v>0</v>
      </c>
      <c r="J26" s="3">
        <f>('Exceedance results'!J21-'Exceedance results'!J22)*(MIN(1,MAX(0,J$3*EXP(J$4/$A26))))</f>
        <v>0</v>
      </c>
      <c r="K26" s="3">
        <f>('Exceedance results'!K21-'Exceedance results'!K22)*(MIN(1,MAX(0,K$3*EXP(K$4/$A26))))</f>
        <v>0</v>
      </c>
      <c r="L26" s="3">
        <f>('Exceedance results'!L21-'Exceedance results'!L22)*(MIN(1,MAX(0,L$3*EXP(L$4/$A26))))</f>
        <v>0</v>
      </c>
    </row>
    <row r="27" spans="1:12" x14ac:dyDescent="0.2">
      <c r="A27" s="4">
        <f>'Exceedance results'!A22</f>
        <v>320</v>
      </c>
      <c r="B27" s="3">
        <f>('Exceedance results'!B22-'Exceedance results'!B23)*(MIN(1,MAX(0,B$3*EXP(B$4/$A27))))</f>
        <v>2.3215423373714259E-6</v>
      </c>
      <c r="C27" s="3">
        <f>('Exceedance results'!C22-'Exceedance results'!C23)*(MIN(1,MAX(0,C$3*EXP(C$4/$A27))))</f>
        <v>6.9596239918030892E-7</v>
      </c>
      <c r="D27" s="3">
        <f>('Exceedance results'!D22-'Exceedance results'!D23)*(MIN(1,MAX(0,D$3*EXP(D$4/$A27))))</f>
        <v>3.1127860278700523E-7</v>
      </c>
      <c r="E27" s="3">
        <f>('Exceedance results'!E22-'Exceedance results'!E23)*(MIN(1,MAX(0,E$3*EXP(E$4/$A27))))</f>
        <v>1.1444754872983835E-7</v>
      </c>
      <c r="F27" s="3">
        <f>('Exceedance results'!F22-'Exceedance results'!F23)*(MIN(1,MAX(0,F$3*EXP(F$4/$A27))))</f>
        <v>5.3117320486984627E-8</v>
      </c>
      <c r="G27" s="3">
        <f>('Exceedance results'!G22-'Exceedance results'!G23)*(MIN(1,MAX(0,G$3*EXP(G$4/$A27))))</f>
        <v>0</v>
      </c>
      <c r="H27" s="3">
        <f>('Exceedance results'!H22-'Exceedance results'!H23)*(MIN(1,MAX(0,H$3*EXP(H$4/$A27))))</f>
        <v>0</v>
      </c>
      <c r="I27" s="3">
        <f>('Exceedance results'!I22-'Exceedance results'!I23)*(MIN(1,MAX(0,I$3*EXP(I$4/$A27))))</f>
        <v>0</v>
      </c>
      <c r="J27" s="3">
        <f>('Exceedance results'!J22-'Exceedance results'!J23)*(MIN(1,MAX(0,J$3*EXP(J$4/$A27))))</f>
        <v>0</v>
      </c>
      <c r="K27" s="3">
        <f>('Exceedance results'!K22-'Exceedance results'!K23)*(MIN(1,MAX(0,K$3*EXP(K$4/$A27))))</f>
        <v>0</v>
      </c>
      <c r="L27" s="3">
        <f>('Exceedance results'!L22-'Exceedance results'!L23)*(MIN(1,MAX(0,L$3*EXP(L$4/$A27))))</f>
        <v>0</v>
      </c>
    </row>
    <row r="28" spans="1:12" x14ac:dyDescent="0.2">
      <c r="A28" s="4">
        <f>'Exceedance results'!A23</f>
        <v>340</v>
      </c>
      <c r="B28" s="3">
        <f>('Exceedance results'!B23-'Exceedance results'!B24)*(MIN(1,MAX(0,B$3*EXP(B$4/$A28))))</f>
        <v>1.5592562029029644E-6</v>
      </c>
      <c r="C28" s="3">
        <f>('Exceedance results'!C23-'Exceedance results'!C24)*(MIN(1,MAX(0,C$3*EXP(C$4/$A28))))</f>
        <v>6.1151368157398443E-7</v>
      </c>
      <c r="D28" s="3">
        <f>('Exceedance results'!D23-'Exceedance results'!D24)*(MIN(1,MAX(0,D$3*EXP(D$4/$A28))))</f>
        <v>2.526047332256574E-7</v>
      </c>
      <c r="E28" s="3">
        <f>('Exceedance results'!E23-'Exceedance results'!E24)*(MIN(1,MAX(0,E$3*EXP(E$4/$A28))))</f>
        <v>1.8988655160595101E-7</v>
      </c>
      <c r="F28" s="3">
        <f>('Exceedance results'!F23-'Exceedance results'!F24)*(MIN(1,MAX(0,F$3*EXP(F$4/$A28))))</f>
        <v>0</v>
      </c>
      <c r="G28" s="3">
        <f>('Exceedance results'!G23-'Exceedance results'!G24)*(MIN(1,MAX(0,G$3*EXP(G$4/$A28))))</f>
        <v>0</v>
      </c>
      <c r="H28" s="3">
        <f>('Exceedance results'!H23-'Exceedance results'!H24)*(MIN(1,MAX(0,H$3*EXP(H$4/$A28))))</f>
        <v>0</v>
      </c>
      <c r="I28" s="3">
        <f>('Exceedance results'!I23-'Exceedance results'!I24)*(MIN(1,MAX(0,I$3*EXP(I$4/$A28))))</f>
        <v>0</v>
      </c>
      <c r="J28" s="3">
        <f>('Exceedance results'!J23-'Exceedance results'!J24)*(MIN(1,MAX(0,J$3*EXP(J$4/$A28))))</f>
        <v>0</v>
      </c>
      <c r="K28" s="3">
        <f>('Exceedance results'!K23-'Exceedance results'!K24)*(MIN(1,MAX(0,K$3*EXP(K$4/$A28))))</f>
        <v>0</v>
      </c>
      <c r="L28" s="3">
        <f>('Exceedance results'!L23-'Exceedance results'!L24)*(MIN(1,MAX(0,L$3*EXP(L$4/$A28))))</f>
        <v>0</v>
      </c>
    </row>
    <row r="29" spans="1:12" x14ac:dyDescent="0.2">
      <c r="A29" s="4">
        <f>'Exceedance results'!A24</f>
        <v>360</v>
      </c>
      <c r="B29" s="3">
        <f>('Exceedance results'!B24-'Exceedance results'!B25)*(MIN(1,MAX(0,B$3*EXP(B$4/$A29))))</f>
        <v>1.0584984187874909E-6</v>
      </c>
      <c r="C29" s="3">
        <f>('Exceedance results'!C24-'Exceedance results'!C25)*(MIN(1,MAX(0,C$3*EXP(C$4/$A29))))</f>
        <v>6.7400759544583976E-7</v>
      </c>
      <c r="D29" s="3">
        <f>('Exceedance results'!D24-'Exceedance results'!D25)*(MIN(1,MAX(0,D$3*EXP(D$4/$A29))))</f>
        <v>1.1810349801812023E-7</v>
      </c>
      <c r="E29" s="3">
        <f>('Exceedance results'!E24-'Exceedance results'!E25)*(MIN(1,MAX(0,E$3*EXP(E$4/$A29))))</f>
        <v>5.4814117248339834E-8</v>
      </c>
      <c r="F29" s="3">
        <f>('Exceedance results'!F24-'Exceedance results'!F25)*(MIN(1,MAX(0,F$3*EXP(F$4/$A29))))</f>
        <v>0</v>
      </c>
      <c r="G29" s="3">
        <f>('Exceedance results'!G24-'Exceedance results'!G25)*(MIN(1,MAX(0,G$3*EXP(G$4/$A29))))</f>
        <v>0</v>
      </c>
      <c r="H29" s="3">
        <f>('Exceedance results'!H24-'Exceedance results'!H25)*(MIN(1,MAX(0,H$3*EXP(H$4/$A29))))</f>
        <v>0</v>
      </c>
      <c r="I29" s="3">
        <f>('Exceedance results'!I24-'Exceedance results'!I25)*(MIN(1,MAX(0,I$3*EXP(I$4/$A29))))</f>
        <v>0</v>
      </c>
      <c r="J29" s="3">
        <f>('Exceedance results'!J24-'Exceedance results'!J25)*(MIN(1,MAX(0,J$3*EXP(J$4/$A29))))</f>
        <v>0</v>
      </c>
      <c r="K29" s="3">
        <f>('Exceedance results'!K24-'Exceedance results'!K25)*(MIN(1,MAX(0,K$3*EXP(K$4/$A29))))</f>
        <v>0</v>
      </c>
      <c r="L29" s="3">
        <f>('Exceedance results'!L24-'Exceedance results'!L25)*(MIN(1,MAX(0,L$3*EXP(L$4/$A29))))</f>
        <v>0</v>
      </c>
    </row>
    <row r="30" spans="1:12" x14ac:dyDescent="0.2">
      <c r="A30" s="4">
        <f>'Exceedance results'!A25</f>
        <v>380</v>
      </c>
      <c r="B30" s="3">
        <f>('Exceedance results'!B25-'Exceedance results'!B26)*(MIN(1,MAX(0,B$3*EXP(B$4/$A30))))</f>
        <v>7.4356582634068764E-7</v>
      </c>
      <c r="C30" s="3">
        <f>('Exceedance results'!C25-'Exceedance results'!C26)*(MIN(1,MAX(0,C$3*EXP(C$4/$A30))))</f>
        <v>2.0048341041085906E-7</v>
      </c>
      <c r="D30" s="3">
        <f>('Exceedance results'!D25-'Exceedance results'!D26)*(MIN(1,MAX(0,D$3*EXP(D$4/$A30))))</f>
        <v>1.3605392321339406E-7</v>
      </c>
      <c r="E30" s="3">
        <f>('Exceedance results'!E25-'Exceedance results'!E26)*(MIN(1,MAX(0,E$3*EXP(E$4/$A30))))</f>
        <v>0</v>
      </c>
      <c r="F30" s="3">
        <f>('Exceedance results'!F25-'Exceedance results'!F26)*(MIN(1,MAX(0,F$3*EXP(F$4/$A30))))</f>
        <v>0</v>
      </c>
      <c r="G30" s="3">
        <f>('Exceedance results'!G25-'Exceedance results'!G26)*(MIN(1,MAX(0,G$3*EXP(G$4/$A30))))</f>
        <v>0</v>
      </c>
      <c r="H30" s="3">
        <f>('Exceedance results'!H25-'Exceedance results'!H26)*(MIN(1,MAX(0,H$3*EXP(H$4/$A30))))</f>
        <v>0</v>
      </c>
      <c r="I30" s="3">
        <f>('Exceedance results'!I25-'Exceedance results'!I26)*(MIN(1,MAX(0,I$3*EXP(I$4/$A30))))</f>
        <v>0</v>
      </c>
      <c r="J30" s="3">
        <f>('Exceedance results'!J25-'Exceedance results'!J26)*(MIN(1,MAX(0,J$3*EXP(J$4/$A30))))</f>
        <v>0</v>
      </c>
      <c r="K30" s="3">
        <f>('Exceedance results'!K25-'Exceedance results'!K26)*(MIN(1,MAX(0,K$3*EXP(K$4/$A30))))</f>
        <v>0</v>
      </c>
      <c r="L30" s="3">
        <f>('Exceedance results'!L25-'Exceedance results'!L26)*(MIN(1,MAX(0,L$3*EXP(L$4/$A30))))</f>
        <v>0</v>
      </c>
    </row>
    <row r="31" spans="1:12" x14ac:dyDescent="0.2">
      <c r="A31" s="4">
        <f>'Exceedance results'!A26</f>
        <v>400</v>
      </c>
      <c r="B31" s="3">
        <f>('Exceedance results'!B26-'Exceedance results'!B27)*(MIN(1,MAX(0,B$3*EXP(B$4/$A31))))</f>
        <v>4.5572293926771485E-7</v>
      </c>
      <c r="C31" s="3">
        <f>('Exceedance results'!C26-'Exceedance results'!C27)*(MIN(1,MAX(0,C$3*EXP(C$4/$A31))))</f>
        <v>9.8495121001408972E-8</v>
      </c>
      <c r="D31" s="3">
        <f>('Exceedance results'!D26-'Exceedance results'!D27)*(MIN(1,MAX(0,D$3*EXP(D$4/$A31))))</f>
        <v>1.1615241004899396E-7</v>
      </c>
      <c r="E31" s="3">
        <f>('Exceedance results'!E26-'Exceedance results'!E27)*(MIN(1,MAX(0,E$3*EXP(E$4/$A31))))</f>
        <v>0</v>
      </c>
      <c r="F31" s="3">
        <f>('Exceedance results'!F26-'Exceedance results'!F27)*(MIN(1,MAX(0,F$3*EXP(F$4/$A31))))</f>
        <v>0</v>
      </c>
      <c r="G31" s="3">
        <f>('Exceedance results'!G26-'Exceedance results'!G27)*(MIN(1,MAX(0,G$3*EXP(G$4/$A31))))</f>
        <v>0</v>
      </c>
      <c r="H31" s="3">
        <f>('Exceedance results'!H26-'Exceedance results'!H27)*(MIN(1,MAX(0,H$3*EXP(H$4/$A31))))</f>
        <v>0</v>
      </c>
      <c r="I31" s="3">
        <f>('Exceedance results'!I26-'Exceedance results'!I27)*(MIN(1,MAX(0,I$3*EXP(I$4/$A31))))</f>
        <v>0</v>
      </c>
      <c r="J31" s="3">
        <f>('Exceedance results'!J26-'Exceedance results'!J27)*(MIN(1,MAX(0,J$3*EXP(J$4/$A31))))</f>
        <v>0</v>
      </c>
      <c r="K31" s="3">
        <f>('Exceedance results'!K26-'Exceedance results'!K27)*(MIN(1,MAX(0,K$3*EXP(K$4/$A31))))</f>
        <v>0</v>
      </c>
      <c r="L31" s="3">
        <f>('Exceedance results'!L26-'Exceedance results'!L27)*(MIN(1,MAX(0,L$3*EXP(L$4/$A31))))</f>
        <v>0</v>
      </c>
    </row>
    <row r="32" spans="1:12" x14ac:dyDescent="0.2">
      <c r="A32" s="4">
        <f>'Exceedance results'!A27</f>
        <v>420</v>
      </c>
      <c r="B32" s="3">
        <f>('Exceedance results'!B27-'Exceedance results'!B28)*(MIN(1,MAX(0,B$3*EXP(B$4/$A32))))</f>
        <v>6.2238825893725745E-7</v>
      </c>
      <c r="C32" s="3">
        <f>('Exceedance results'!C27-'Exceedance results'!C28)*(MIN(1,MAX(0,C$3*EXP(C$4/$A32))))</f>
        <v>1.224249461052088E-7</v>
      </c>
      <c r="D32" s="3">
        <f>('Exceedance results'!D27-'Exceedance results'!D28)*(MIN(1,MAX(0,D$3*EXP(D$4/$A32))))</f>
        <v>0</v>
      </c>
      <c r="E32" s="3">
        <f>('Exceedance results'!E27-'Exceedance results'!E28)*(MIN(1,MAX(0,E$3*EXP(E$4/$A32))))</f>
        <v>0</v>
      </c>
      <c r="F32" s="3">
        <f>('Exceedance results'!F27-'Exceedance results'!F28)*(MIN(1,MAX(0,F$3*EXP(F$4/$A32))))</f>
        <v>0</v>
      </c>
      <c r="G32" s="3">
        <f>('Exceedance results'!G27-'Exceedance results'!G28)*(MIN(1,MAX(0,G$3*EXP(G$4/$A32))))</f>
        <v>0</v>
      </c>
      <c r="H32" s="3">
        <f>('Exceedance results'!H27-'Exceedance results'!H28)*(MIN(1,MAX(0,H$3*EXP(H$4/$A32))))</f>
        <v>0</v>
      </c>
      <c r="I32" s="3">
        <f>('Exceedance results'!I27-'Exceedance results'!I28)*(MIN(1,MAX(0,I$3*EXP(I$4/$A32))))</f>
        <v>0</v>
      </c>
      <c r="J32" s="3">
        <f>('Exceedance results'!J27-'Exceedance results'!J28)*(MIN(1,MAX(0,J$3*EXP(J$4/$A32))))</f>
        <v>0</v>
      </c>
      <c r="K32" s="3">
        <f>('Exceedance results'!K27-'Exceedance results'!K28)*(MIN(1,MAX(0,K$3*EXP(K$4/$A32))))</f>
        <v>0</v>
      </c>
      <c r="L32" s="3">
        <f>('Exceedance results'!L27-'Exceedance results'!L28)*(MIN(1,MAX(0,L$3*EXP(L$4/$A32))))</f>
        <v>0</v>
      </c>
    </row>
    <row r="33" spans="1:12" x14ac:dyDescent="0.2">
      <c r="A33" s="4">
        <f>'Exceedance results'!A28</f>
        <v>440</v>
      </c>
      <c r="B33" s="3">
        <f>('Exceedance results'!B28-'Exceedance results'!B29)*(MIN(1,MAX(0,B$3*EXP(B$4/$A33))))</f>
        <v>2.535648983383114E-7</v>
      </c>
      <c r="C33" s="3">
        <f>('Exceedance results'!C28-'Exceedance results'!C29)*(MIN(1,MAX(0,C$3*EXP(C$4/$A33))))</f>
        <v>1.4054801682287043E-7</v>
      </c>
      <c r="D33" s="3">
        <f>('Exceedance results'!D28-'Exceedance results'!D29)*(MIN(1,MAX(0,D$3*EXP(D$4/$A33))))</f>
        <v>0</v>
      </c>
      <c r="E33" s="3">
        <f>('Exceedance results'!E28-'Exceedance results'!E29)*(MIN(1,MAX(0,E$3*EXP(E$4/$A33))))</f>
        <v>0</v>
      </c>
      <c r="F33" s="3">
        <f>('Exceedance results'!F28-'Exceedance results'!F29)*(MIN(1,MAX(0,F$3*EXP(F$4/$A33))))</f>
        <v>0</v>
      </c>
      <c r="G33" s="3">
        <f>('Exceedance results'!G28-'Exceedance results'!G29)*(MIN(1,MAX(0,G$3*EXP(G$4/$A33))))</f>
        <v>0</v>
      </c>
      <c r="H33" s="3">
        <f>('Exceedance results'!H28-'Exceedance results'!H29)*(MIN(1,MAX(0,H$3*EXP(H$4/$A33))))</f>
        <v>0</v>
      </c>
      <c r="I33" s="3">
        <f>('Exceedance results'!I28-'Exceedance results'!I29)*(MIN(1,MAX(0,I$3*EXP(I$4/$A33))))</f>
        <v>0</v>
      </c>
      <c r="J33" s="3">
        <f>('Exceedance results'!J28-'Exceedance results'!J29)*(MIN(1,MAX(0,J$3*EXP(J$4/$A33))))</f>
        <v>0</v>
      </c>
      <c r="K33" s="3">
        <f>('Exceedance results'!K28-'Exceedance results'!K29)*(MIN(1,MAX(0,K$3*EXP(K$4/$A33))))</f>
        <v>0</v>
      </c>
      <c r="L33" s="3">
        <f>('Exceedance results'!L28-'Exceedance results'!L29)*(MIN(1,MAX(0,L$3*EXP(L$4/$A33))))</f>
        <v>0</v>
      </c>
    </row>
    <row r="34" spans="1:12" x14ac:dyDescent="0.2">
      <c r="A34" s="4">
        <f>'Exceedance results'!A29</f>
        <v>460</v>
      </c>
      <c r="B34" s="3">
        <f>('Exceedance results'!B29-'Exceedance results'!B30)*(MIN(1,MAX(0,B$3*EXP(B$4/$A34))))</f>
        <v>1.3229558203497201E-7</v>
      </c>
      <c r="C34" s="3">
        <f>('Exceedance results'!C29-'Exceedance results'!C30)*(MIN(1,MAX(0,C$3*EXP(C$4/$A34))))</f>
        <v>1.1963361883490824E-7</v>
      </c>
      <c r="D34" s="3">
        <f>('Exceedance results'!D29-'Exceedance results'!D30)*(MIN(1,MAX(0,D$3*EXP(D$4/$A34))))</f>
        <v>0</v>
      </c>
      <c r="E34" s="3">
        <f>('Exceedance results'!E29-'Exceedance results'!E30)*(MIN(1,MAX(0,E$3*EXP(E$4/$A34))))</f>
        <v>0</v>
      </c>
      <c r="F34" s="3">
        <f>('Exceedance results'!F29-'Exceedance results'!F30)*(MIN(1,MAX(0,F$3*EXP(F$4/$A34))))</f>
        <v>0</v>
      </c>
      <c r="G34" s="3">
        <f>('Exceedance results'!G29-'Exceedance results'!G30)*(MIN(1,MAX(0,G$3*EXP(G$4/$A34))))</f>
        <v>0</v>
      </c>
      <c r="H34" s="3">
        <f>('Exceedance results'!H29-'Exceedance results'!H30)*(MIN(1,MAX(0,H$3*EXP(H$4/$A34))))</f>
        <v>0</v>
      </c>
      <c r="I34" s="3">
        <f>('Exceedance results'!I29-'Exceedance results'!I30)*(MIN(1,MAX(0,I$3*EXP(I$4/$A34))))</f>
        <v>0</v>
      </c>
      <c r="J34" s="3">
        <f>('Exceedance results'!J29-'Exceedance results'!J30)*(MIN(1,MAX(0,J$3*EXP(J$4/$A34))))</f>
        <v>0</v>
      </c>
      <c r="K34" s="3">
        <f>('Exceedance results'!K29-'Exceedance results'!K30)*(MIN(1,MAX(0,K$3*EXP(K$4/$A34))))</f>
        <v>0</v>
      </c>
      <c r="L34" s="3">
        <f>('Exceedance results'!L29-'Exceedance results'!L30)*(MIN(1,MAX(0,L$3*EXP(L$4/$A34))))</f>
        <v>0</v>
      </c>
    </row>
    <row r="35" spans="1:12" x14ac:dyDescent="0.2">
      <c r="A35" s="4">
        <f>'Exceedance results'!A30</f>
        <v>480</v>
      </c>
      <c r="B35" s="3">
        <f>('Exceedance results'!B30-'Exceedance results'!B31)*(MIN(1,MAX(0,B$3*EXP(B$4/$A35))))</f>
        <v>4.403703429155593E-8</v>
      </c>
      <c r="C35" s="3">
        <f>('Exceedance results'!C30-'Exceedance results'!C31)*(MIN(1,MAX(0,C$3*EXP(C$4/$A35))))</f>
        <v>0</v>
      </c>
      <c r="D35" s="3">
        <f>('Exceedance results'!D30-'Exceedance results'!D31)*(MIN(1,MAX(0,D$3*EXP(D$4/$A35))))</f>
        <v>0</v>
      </c>
      <c r="E35" s="3">
        <f>('Exceedance results'!E30-'Exceedance results'!E31)*(MIN(1,MAX(0,E$3*EXP(E$4/$A35))))</f>
        <v>0</v>
      </c>
      <c r="F35" s="3">
        <f>('Exceedance results'!F30-'Exceedance results'!F31)*(MIN(1,MAX(0,F$3*EXP(F$4/$A35))))</f>
        <v>0</v>
      </c>
      <c r="G35" s="3">
        <f>('Exceedance results'!G30-'Exceedance results'!G31)*(MIN(1,MAX(0,G$3*EXP(G$4/$A35))))</f>
        <v>0</v>
      </c>
      <c r="H35" s="3">
        <f>('Exceedance results'!H30-'Exceedance results'!H31)*(MIN(1,MAX(0,H$3*EXP(H$4/$A35))))</f>
        <v>0</v>
      </c>
      <c r="I35" s="3">
        <f>('Exceedance results'!I30-'Exceedance results'!I31)*(MIN(1,MAX(0,I$3*EXP(I$4/$A35))))</f>
        <v>0</v>
      </c>
      <c r="J35" s="3">
        <f>('Exceedance results'!J30-'Exceedance results'!J31)*(MIN(1,MAX(0,J$3*EXP(J$4/$A35))))</f>
        <v>0</v>
      </c>
      <c r="K35" s="3">
        <f>('Exceedance results'!K30-'Exceedance results'!K31)*(MIN(1,MAX(0,K$3*EXP(K$4/$A35))))</f>
        <v>0</v>
      </c>
      <c r="L35" s="3">
        <f>('Exceedance results'!L30-'Exceedance results'!L31)*(MIN(1,MAX(0,L$3*EXP(L$4/$A35))))</f>
        <v>0</v>
      </c>
    </row>
    <row r="36" spans="1:12" x14ac:dyDescent="0.2">
      <c r="A36" s="4">
        <f>'Exceedance results'!A31</f>
        <v>500</v>
      </c>
      <c r="B36" s="3">
        <f>('Exceedance results'!B31-'Exceedance results'!B32)*(MIN(1,MAX(0,B$3*EXP(B$4/$A36))))</f>
        <v>2.8913264209663428E-7</v>
      </c>
      <c r="C36" s="3">
        <f>('Exceedance results'!C31-'Exceedance results'!C32)*(MIN(1,MAX(0,C$3*EXP(C$4/$A36))))</f>
        <v>0</v>
      </c>
      <c r="D36" s="3">
        <f>('Exceedance results'!D31-'Exceedance results'!D32)*(MIN(1,MAX(0,D$3*EXP(D$4/$A36))))</f>
        <v>0</v>
      </c>
      <c r="E36" s="3">
        <f>('Exceedance results'!E31-'Exceedance results'!E32)*(MIN(1,MAX(0,E$3*EXP(E$4/$A36))))</f>
        <v>0</v>
      </c>
      <c r="F36" s="3">
        <f>('Exceedance results'!F31-'Exceedance results'!F32)*(MIN(1,MAX(0,F$3*EXP(F$4/$A36))))</f>
        <v>0</v>
      </c>
      <c r="G36" s="3">
        <f>('Exceedance results'!G31-'Exceedance results'!G32)*(MIN(1,MAX(0,G$3*EXP(G$4/$A36))))</f>
        <v>0</v>
      </c>
      <c r="H36" s="3">
        <f>('Exceedance results'!H31-'Exceedance results'!H32)*(MIN(1,MAX(0,H$3*EXP(H$4/$A36))))</f>
        <v>0</v>
      </c>
      <c r="I36" s="3">
        <f>('Exceedance results'!I31-'Exceedance results'!I32)*(MIN(1,MAX(0,I$3*EXP(I$4/$A36))))</f>
        <v>0</v>
      </c>
      <c r="J36" s="3">
        <f>('Exceedance results'!J31-'Exceedance results'!J32)*(MIN(1,MAX(0,J$3*EXP(J$4/$A36))))</f>
        <v>0</v>
      </c>
      <c r="K36" s="3">
        <f>('Exceedance results'!K31-'Exceedance results'!K32)*(MIN(1,MAX(0,K$3*EXP(K$4/$A36))))</f>
        <v>0</v>
      </c>
      <c r="L36" s="3">
        <f>('Exceedance results'!L31-'Exceedance results'!L32)*(MIN(1,MAX(0,L$3*EXP(L$4/$A36))))</f>
        <v>0</v>
      </c>
    </row>
    <row r="37" spans="1:12" x14ac:dyDescent="0.2">
      <c r="A37" s="4">
        <f>'Exceedance results'!A32</f>
        <v>550</v>
      </c>
      <c r="B37" s="3">
        <f>('Exceedance results'!B32-'Exceedance results'!B33)*(MIN(1,MAX(0,B$3*EXP(B$4/$A37))))</f>
        <v>5.9790664013074107E-8</v>
      </c>
      <c r="C37" s="3">
        <f>('Exceedance results'!C32-'Exceedance results'!C33)*(MIN(1,MAX(0,C$3*EXP(C$4/$A37))))</f>
        <v>0</v>
      </c>
      <c r="D37" s="3">
        <f>('Exceedance results'!D32-'Exceedance results'!D33)*(MIN(1,MAX(0,D$3*EXP(D$4/$A37))))</f>
        <v>0</v>
      </c>
      <c r="E37" s="3">
        <f>('Exceedance results'!E32-'Exceedance results'!E33)*(MIN(1,MAX(0,E$3*EXP(E$4/$A37))))</f>
        <v>0</v>
      </c>
      <c r="F37" s="3">
        <f>('Exceedance results'!F32-'Exceedance results'!F33)*(MIN(1,MAX(0,F$3*EXP(F$4/$A37))))</f>
        <v>0</v>
      </c>
      <c r="G37" s="3">
        <f>('Exceedance results'!G32-'Exceedance results'!G33)*(MIN(1,MAX(0,G$3*EXP(G$4/$A37))))</f>
        <v>0</v>
      </c>
      <c r="H37" s="3">
        <f>('Exceedance results'!H32-'Exceedance results'!H33)*(MIN(1,MAX(0,H$3*EXP(H$4/$A37))))</f>
        <v>0</v>
      </c>
      <c r="I37" s="3">
        <f>('Exceedance results'!I32-'Exceedance results'!I33)*(MIN(1,MAX(0,I$3*EXP(I$4/$A37))))</f>
        <v>0</v>
      </c>
      <c r="J37" s="3">
        <f>('Exceedance results'!J32-'Exceedance results'!J33)*(MIN(1,MAX(0,J$3*EXP(J$4/$A37))))</f>
        <v>0</v>
      </c>
      <c r="K37" s="3">
        <f>('Exceedance results'!K32-'Exceedance results'!K33)*(MIN(1,MAX(0,K$3*EXP(K$4/$A37))))</f>
        <v>0</v>
      </c>
      <c r="L37" s="3">
        <f>('Exceedance results'!L32-'Exceedance results'!L33)*(MIN(1,MAX(0,L$3*EXP(L$4/$A37))))</f>
        <v>0</v>
      </c>
    </row>
    <row r="38" spans="1:12" x14ac:dyDescent="0.2">
      <c r="A38" s="4">
        <f>'Exceedance results'!A33</f>
        <v>1E-3</v>
      </c>
      <c r="B38" s="3">
        <f>('Exceedance results'!B33-'Exceedance results'!B34)*(MIN(1,MAX(0,B$3*EXP(B$4/$A38))))</f>
        <v>0</v>
      </c>
      <c r="C38" s="3">
        <f>('Exceedance results'!C33-'Exceedance results'!C34)*(MIN(1,MAX(0,C$3*EXP(C$4/$A38))))</f>
        <v>0</v>
      </c>
      <c r="D38" s="3">
        <f>('Exceedance results'!D33-'Exceedance results'!D34)*(MIN(1,MAX(0,D$3*EXP(D$4/$A38))))</f>
        <v>0</v>
      </c>
      <c r="E38" s="3">
        <f>('Exceedance results'!E33-'Exceedance results'!E34)*(MIN(1,MAX(0,E$3*EXP(E$4/$A38))))</f>
        <v>0</v>
      </c>
      <c r="F38" s="3">
        <f>('Exceedance results'!F33-'Exceedance results'!F34)*(MIN(1,MAX(0,F$3*EXP(F$4/$A38))))</f>
        <v>0</v>
      </c>
      <c r="G38" s="3">
        <f>('Exceedance results'!G33-'Exceedance results'!G34)*(MIN(1,MAX(0,G$3*EXP(G$4/$A38))))</f>
        <v>0</v>
      </c>
      <c r="H38" s="3">
        <f>('Exceedance results'!H33-'Exceedance results'!H34)*(MIN(1,MAX(0,H$3*EXP(H$4/$A38))))</f>
        <v>0</v>
      </c>
      <c r="I38" s="3">
        <f>('Exceedance results'!I33-'Exceedance results'!I34)*(MIN(1,MAX(0,I$3*EXP(I$4/$A38))))</f>
        <v>0</v>
      </c>
      <c r="J38" s="3">
        <f>('Exceedance results'!J33-'Exceedance results'!J34)*(MIN(1,MAX(0,J$3*EXP(J$4/$A38))))</f>
        <v>0</v>
      </c>
      <c r="K38" s="3">
        <f>('Exceedance results'!K33-'Exceedance results'!K34)*(MIN(1,MAX(0,K$3*EXP(K$4/$A38))))</f>
        <v>0</v>
      </c>
      <c r="L38" s="3">
        <f>('Exceedance results'!L33-'Exceedance results'!L34)*(MIN(1,MAX(0,L$3*EXP(L$4/$A38))))</f>
        <v>0</v>
      </c>
    </row>
    <row r="39" spans="1:12" x14ac:dyDescent="0.2">
      <c r="A39" s="4">
        <f>'Exceedance results'!A34</f>
        <v>1E-3</v>
      </c>
      <c r="B39" s="3">
        <f>('Exceedance results'!B34-'Exceedance results'!B35)*(MIN(1,MAX(0,B$3*EXP(B$4/$A39))))</f>
        <v>0</v>
      </c>
      <c r="C39" s="3">
        <f>('Exceedance results'!C34-'Exceedance results'!C35)*(MIN(1,MAX(0,C$3*EXP(C$4/$A39))))</f>
        <v>0</v>
      </c>
      <c r="D39" s="3">
        <f>('Exceedance results'!D34-'Exceedance results'!D35)*(MIN(1,MAX(0,D$3*EXP(D$4/$A39))))</f>
        <v>0</v>
      </c>
      <c r="E39" s="3">
        <f>('Exceedance results'!E34-'Exceedance results'!E35)*(MIN(1,MAX(0,E$3*EXP(E$4/$A39))))</f>
        <v>0</v>
      </c>
      <c r="F39" s="3">
        <f>('Exceedance results'!F34-'Exceedance results'!F35)*(MIN(1,MAX(0,F$3*EXP(F$4/$A39))))</f>
        <v>0</v>
      </c>
      <c r="G39" s="3">
        <f>('Exceedance results'!G34-'Exceedance results'!G35)*(MIN(1,MAX(0,G$3*EXP(G$4/$A39))))</f>
        <v>0</v>
      </c>
      <c r="H39" s="3">
        <f>('Exceedance results'!H34-'Exceedance results'!H35)*(MIN(1,MAX(0,H$3*EXP(H$4/$A39))))</f>
        <v>0</v>
      </c>
      <c r="I39" s="3">
        <f>('Exceedance results'!I34-'Exceedance results'!I35)*(MIN(1,MAX(0,I$3*EXP(I$4/$A39))))</f>
        <v>0</v>
      </c>
      <c r="J39" s="3">
        <f>('Exceedance results'!J34-'Exceedance results'!J35)*(MIN(1,MAX(0,J$3*EXP(J$4/$A39))))</f>
        <v>0</v>
      </c>
      <c r="K39" s="3">
        <f>('Exceedance results'!K34-'Exceedance results'!K35)*(MIN(1,MAX(0,K$3*EXP(K$4/$A39))))</f>
        <v>0</v>
      </c>
      <c r="L39" s="3">
        <f>('Exceedance results'!L34-'Exceedance results'!L35)*(MIN(1,MAX(0,L$3*EXP(L$4/$A39))))</f>
        <v>0</v>
      </c>
    </row>
    <row r="40" spans="1:12" x14ac:dyDescent="0.2">
      <c r="A40" s="4">
        <f>'Exceedance results'!A35</f>
        <v>1E-3</v>
      </c>
      <c r="B40" s="3">
        <f>('Exceedance results'!B35-'Exceedance results'!B36)*(MIN(1,MAX(0,B$3*EXP(B$4/$A40))))</f>
        <v>0</v>
      </c>
      <c r="C40" s="3">
        <f>('Exceedance results'!C35-'Exceedance results'!C36)*(MIN(1,MAX(0,C$3*EXP(C$4/$A40))))</f>
        <v>0</v>
      </c>
      <c r="D40" s="3">
        <f>('Exceedance results'!D35-'Exceedance results'!D36)*(MIN(1,MAX(0,D$3*EXP(D$4/$A40))))</f>
        <v>0</v>
      </c>
      <c r="E40" s="3">
        <f>('Exceedance results'!E35-'Exceedance results'!E36)*(MIN(1,MAX(0,E$3*EXP(E$4/$A40))))</f>
        <v>0</v>
      </c>
      <c r="F40" s="3">
        <f>('Exceedance results'!F35-'Exceedance results'!F36)*(MIN(1,MAX(0,F$3*EXP(F$4/$A40))))</f>
        <v>0</v>
      </c>
      <c r="G40" s="3">
        <f>('Exceedance results'!G35-'Exceedance results'!G36)*(MIN(1,MAX(0,G$3*EXP(G$4/$A40))))</f>
        <v>0</v>
      </c>
      <c r="H40" s="3">
        <f>('Exceedance results'!H35-'Exceedance results'!H36)*(MIN(1,MAX(0,H$3*EXP(H$4/$A40))))</f>
        <v>0</v>
      </c>
      <c r="I40" s="3">
        <f>('Exceedance results'!I35-'Exceedance results'!I36)*(MIN(1,MAX(0,I$3*EXP(I$4/$A40))))</f>
        <v>0</v>
      </c>
      <c r="J40" s="3">
        <f>('Exceedance results'!J35-'Exceedance results'!J36)*(MIN(1,MAX(0,J$3*EXP(J$4/$A40))))</f>
        <v>0</v>
      </c>
      <c r="K40" s="3">
        <f>('Exceedance results'!K35-'Exceedance results'!K36)*(MIN(1,MAX(0,K$3*EXP(K$4/$A40))))</f>
        <v>0</v>
      </c>
      <c r="L40" s="3">
        <f>('Exceedance results'!L35-'Exceedance results'!L36)*(MIN(1,MAX(0,L$3*EXP(L$4/$A40))))</f>
        <v>0</v>
      </c>
    </row>
    <row r="41" spans="1:12" x14ac:dyDescent="0.2">
      <c r="A41" s="4">
        <f>'Exceedance results'!A36</f>
        <v>1E-3</v>
      </c>
      <c r="B41" s="3">
        <f>('Exceedance results'!B36-'Exceedance results'!B37)*(MIN(1,MAX(0,B$3*EXP(B$4/$A41))))</f>
        <v>0</v>
      </c>
      <c r="C41" s="3">
        <f>('Exceedance results'!C36-'Exceedance results'!C37)*(MIN(1,MAX(0,C$3*EXP(C$4/$A41))))</f>
        <v>0</v>
      </c>
      <c r="D41" s="3">
        <f>('Exceedance results'!D36-'Exceedance results'!D37)*(MIN(1,MAX(0,D$3*EXP(D$4/$A41))))</f>
        <v>0</v>
      </c>
      <c r="E41" s="3">
        <f>('Exceedance results'!E36-'Exceedance results'!E37)*(MIN(1,MAX(0,E$3*EXP(E$4/$A41))))</f>
        <v>0</v>
      </c>
      <c r="F41" s="3">
        <f>('Exceedance results'!F36-'Exceedance results'!F37)*(MIN(1,MAX(0,F$3*EXP(F$4/$A41))))</f>
        <v>0</v>
      </c>
      <c r="G41" s="3">
        <f>('Exceedance results'!G36-'Exceedance results'!G37)*(MIN(1,MAX(0,G$3*EXP(G$4/$A41))))</f>
        <v>0</v>
      </c>
      <c r="H41" s="3">
        <f>('Exceedance results'!H36-'Exceedance results'!H37)*(MIN(1,MAX(0,H$3*EXP(H$4/$A41))))</f>
        <v>0</v>
      </c>
      <c r="I41" s="3">
        <f>('Exceedance results'!I36-'Exceedance results'!I37)*(MIN(1,MAX(0,I$3*EXP(I$4/$A41))))</f>
        <v>0</v>
      </c>
      <c r="J41" s="3">
        <f>('Exceedance results'!J36-'Exceedance results'!J37)*(MIN(1,MAX(0,J$3*EXP(J$4/$A41))))</f>
        <v>0</v>
      </c>
      <c r="K41" s="3">
        <f>('Exceedance results'!K36-'Exceedance results'!K37)*(MIN(1,MAX(0,K$3*EXP(K$4/$A41))))</f>
        <v>0</v>
      </c>
      <c r="L41" s="3">
        <f>('Exceedance results'!L36-'Exceedance results'!L37)*(MIN(1,MAX(0,L$3*EXP(L$4/$A41))))</f>
        <v>0</v>
      </c>
    </row>
    <row r="42" spans="1:12" x14ac:dyDescent="0.2">
      <c r="A42" s="4">
        <f>'Exceedance results'!A37</f>
        <v>1E-3</v>
      </c>
      <c r="B42" s="3">
        <f>('Exceedance results'!B37-'Exceedance results'!B38)*(MIN(1,MAX(0,B$3*EXP(B$4/$A42))))</f>
        <v>0</v>
      </c>
      <c r="C42" s="3">
        <f>('Exceedance results'!C37-'Exceedance results'!C38)*(MIN(1,MAX(0,C$3*EXP(C$4/$A42))))</f>
        <v>0</v>
      </c>
      <c r="D42" s="3">
        <f>('Exceedance results'!D37-'Exceedance results'!D38)*(MIN(1,MAX(0,D$3*EXP(D$4/$A42))))</f>
        <v>0</v>
      </c>
      <c r="E42" s="3">
        <f>('Exceedance results'!E37-'Exceedance results'!E38)*(MIN(1,MAX(0,E$3*EXP(E$4/$A42))))</f>
        <v>0</v>
      </c>
      <c r="F42" s="3">
        <f>('Exceedance results'!F37-'Exceedance results'!F38)*(MIN(1,MAX(0,F$3*EXP(F$4/$A42))))</f>
        <v>0</v>
      </c>
      <c r="G42" s="3">
        <f>('Exceedance results'!G37-'Exceedance results'!G38)*(MIN(1,MAX(0,G$3*EXP(G$4/$A42))))</f>
        <v>0</v>
      </c>
      <c r="H42" s="3">
        <f>('Exceedance results'!H37-'Exceedance results'!H38)*(MIN(1,MAX(0,H$3*EXP(H$4/$A42))))</f>
        <v>0</v>
      </c>
      <c r="I42" s="3">
        <f>('Exceedance results'!I37-'Exceedance results'!I38)*(MIN(1,MAX(0,I$3*EXP(I$4/$A42))))</f>
        <v>0</v>
      </c>
      <c r="J42" s="3">
        <f>('Exceedance results'!J37-'Exceedance results'!J38)*(MIN(1,MAX(0,J$3*EXP(J$4/$A42))))</f>
        <v>0</v>
      </c>
      <c r="K42" s="3">
        <f>('Exceedance results'!K37-'Exceedance results'!K38)*(MIN(1,MAX(0,K$3*EXP(K$4/$A42))))</f>
        <v>0</v>
      </c>
      <c r="L42" s="3">
        <f>('Exceedance results'!L37-'Exceedance results'!L38)*(MIN(1,MAX(0,L$3*EXP(L$4/$A42))))</f>
        <v>0</v>
      </c>
    </row>
    <row r="43" spans="1:12" x14ac:dyDescent="0.2">
      <c r="A43" s="4">
        <f>'Exceedance results'!A38</f>
        <v>1E-3</v>
      </c>
      <c r="B43" s="3">
        <f>('Exceedance results'!B38-'Exceedance results'!B39)*(MIN(1,MAX(0,B$3*EXP(B$4/$A43))))</f>
        <v>0</v>
      </c>
      <c r="C43" s="3">
        <f>('Exceedance results'!C38-'Exceedance results'!C39)*(MIN(1,MAX(0,C$3*EXP(C$4/$A43))))</f>
        <v>0</v>
      </c>
      <c r="D43" s="3">
        <f>('Exceedance results'!D38-'Exceedance results'!D39)*(MIN(1,MAX(0,D$3*EXP(D$4/$A43))))</f>
        <v>0</v>
      </c>
      <c r="E43" s="3">
        <f>('Exceedance results'!E38-'Exceedance results'!E39)*(MIN(1,MAX(0,E$3*EXP(E$4/$A43))))</f>
        <v>0</v>
      </c>
      <c r="F43" s="3">
        <f>('Exceedance results'!F38-'Exceedance results'!F39)*(MIN(1,MAX(0,F$3*EXP(F$4/$A43))))</f>
        <v>0</v>
      </c>
      <c r="G43" s="3">
        <f>('Exceedance results'!G38-'Exceedance results'!G39)*(MIN(1,MAX(0,G$3*EXP(G$4/$A43))))</f>
        <v>0</v>
      </c>
      <c r="H43" s="3">
        <f>('Exceedance results'!H38-'Exceedance results'!H39)*(MIN(1,MAX(0,H$3*EXP(H$4/$A43))))</f>
        <v>0</v>
      </c>
      <c r="I43" s="3">
        <f>('Exceedance results'!I38-'Exceedance results'!I39)*(MIN(1,MAX(0,I$3*EXP(I$4/$A43))))</f>
        <v>0</v>
      </c>
      <c r="J43" s="3">
        <f>('Exceedance results'!J38-'Exceedance results'!J39)*(MIN(1,MAX(0,J$3*EXP(J$4/$A43))))</f>
        <v>0</v>
      </c>
      <c r="K43" s="3">
        <f>('Exceedance results'!K38-'Exceedance results'!K39)*(MIN(1,MAX(0,K$3*EXP(K$4/$A43))))</f>
        <v>0</v>
      </c>
      <c r="L43" s="3">
        <f>('Exceedance results'!L38-'Exceedance results'!L39)*(MIN(1,MAX(0,L$3*EXP(L$4/$A43))))</f>
        <v>0</v>
      </c>
    </row>
    <row r="44" spans="1:12" x14ac:dyDescent="0.2">
      <c r="A44" s="4">
        <f>'Exceedance results'!A39</f>
        <v>1E-3</v>
      </c>
      <c r="B44" s="3">
        <f>('Exceedance results'!B39-'Exceedance results'!B40)*(MIN(1,MAX(0,B$3*EXP(B$4/$A44))))</f>
        <v>0</v>
      </c>
      <c r="C44" s="3">
        <f>('Exceedance results'!C39-'Exceedance results'!C40)*(MIN(1,MAX(0,C$3*EXP(C$4/$A44))))</f>
        <v>0</v>
      </c>
      <c r="D44" s="3">
        <f>('Exceedance results'!D39-'Exceedance results'!D40)*(MIN(1,MAX(0,D$3*EXP(D$4/$A44))))</f>
        <v>0</v>
      </c>
      <c r="E44" s="3">
        <f>('Exceedance results'!E39-'Exceedance results'!E40)*(MIN(1,MAX(0,E$3*EXP(E$4/$A44))))</f>
        <v>0</v>
      </c>
      <c r="F44" s="3">
        <f>('Exceedance results'!F39-'Exceedance results'!F40)*(MIN(1,MAX(0,F$3*EXP(F$4/$A44))))</f>
        <v>0</v>
      </c>
      <c r="G44" s="3">
        <f>('Exceedance results'!G39-'Exceedance results'!G40)*(MIN(1,MAX(0,G$3*EXP(G$4/$A44))))</f>
        <v>0</v>
      </c>
      <c r="H44" s="3">
        <f>('Exceedance results'!H39-'Exceedance results'!H40)*(MIN(1,MAX(0,H$3*EXP(H$4/$A44))))</f>
        <v>0</v>
      </c>
      <c r="I44" s="3">
        <f>('Exceedance results'!I39-'Exceedance results'!I40)*(MIN(1,MAX(0,I$3*EXP(I$4/$A44))))</f>
        <v>0</v>
      </c>
      <c r="J44" s="3">
        <f>('Exceedance results'!J39-'Exceedance results'!J40)*(MIN(1,MAX(0,J$3*EXP(J$4/$A44))))</f>
        <v>0</v>
      </c>
      <c r="K44" s="3">
        <f>('Exceedance results'!K39-'Exceedance results'!K40)*(MIN(1,MAX(0,K$3*EXP(K$4/$A44))))</f>
        <v>0</v>
      </c>
      <c r="L44" s="3">
        <f>('Exceedance results'!L39-'Exceedance results'!L40)*(MIN(1,MAX(0,L$3*EXP(L$4/$A44))))</f>
        <v>0</v>
      </c>
    </row>
    <row r="45" spans="1:12" x14ac:dyDescent="0.2">
      <c r="A45" s="4">
        <f>'Exceedance results'!A40</f>
        <v>1E-3</v>
      </c>
      <c r="B45" s="3">
        <f>('Exceedance results'!B40-'Exceedance results'!B41)*(MIN(1,MAX(0,B$3*EXP(B$4/$A45))))</f>
        <v>0</v>
      </c>
      <c r="C45" s="3">
        <f>('Exceedance results'!C40-'Exceedance results'!C41)*(MIN(1,MAX(0,C$3*EXP(C$4/$A45))))</f>
        <v>0</v>
      </c>
      <c r="D45" s="3">
        <f>('Exceedance results'!D40-'Exceedance results'!D41)*(MIN(1,MAX(0,D$3*EXP(D$4/$A45))))</f>
        <v>0</v>
      </c>
      <c r="E45" s="3">
        <f>('Exceedance results'!E40-'Exceedance results'!E41)*(MIN(1,MAX(0,E$3*EXP(E$4/$A45))))</f>
        <v>0</v>
      </c>
      <c r="F45" s="3">
        <f>('Exceedance results'!F40-'Exceedance results'!F41)*(MIN(1,MAX(0,F$3*EXP(F$4/$A45))))</f>
        <v>0</v>
      </c>
      <c r="G45" s="3">
        <f>('Exceedance results'!G40-'Exceedance results'!G41)*(MIN(1,MAX(0,G$3*EXP(G$4/$A45))))</f>
        <v>0</v>
      </c>
      <c r="H45" s="3">
        <f>('Exceedance results'!H40-'Exceedance results'!H41)*(MIN(1,MAX(0,H$3*EXP(H$4/$A45))))</f>
        <v>0</v>
      </c>
      <c r="I45" s="3">
        <f>('Exceedance results'!I40-'Exceedance results'!I41)*(MIN(1,MAX(0,I$3*EXP(I$4/$A45))))</f>
        <v>0</v>
      </c>
      <c r="J45" s="3">
        <f>('Exceedance results'!J40-'Exceedance results'!J41)*(MIN(1,MAX(0,J$3*EXP(J$4/$A45))))</f>
        <v>0</v>
      </c>
      <c r="K45" s="3">
        <f>('Exceedance results'!K40-'Exceedance results'!K41)*(MIN(1,MAX(0,K$3*EXP(K$4/$A45))))</f>
        <v>0</v>
      </c>
      <c r="L45" s="3">
        <f>('Exceedance results'!L40-'Exceedance results'!L41)*(MIN(1,MAX(0,L$3*EXP(L$4/$A45))))</f>
        <v>0</v>
      </c>
    </row>
    <row r="46" spans="1:12" x14ac:dyDescent="0.2">
      <c r="A46" s="4">
        <f>'Exceedance results'!A41</f>
        <v>1E-3</v>
      </c>
      <c r="B46" s="3">
        <f>('Exceedance results'!B41-'Exceedance results'!B42)*(MIN(1,MAX(0,B$3*EXP(B$4/$A46))))</f>
        <v>0</v>
      </c>
      <c r="C46" s="3">
        <f>('Exceedance results'!C41-'Exceedance results'!C42)*(MIN(1,MAX(0,C$3*EXP(C$4/$A46))))</f>
        <v>0</v>
      </c>
      <c r="D46" s="3">
        <f>('Exceedance results'!D41-'Exceedance results'!D42)*(MIN(1,MAX(0,D$3*EXP(D$4/$A46))))</f>
        <v>0</v>
      </c>
      <c r="E46" s="3">
        <f>('Exceedance results'!E41-'Exceedance results'!E42)*(MIN(1,MAX(0,E$3*EXP(E$4/$A46))))</f>
        <v>0</v>
      </c>
      <c r="F46" s="3">
        <f>('Exceedance results'!F41-'Exceedance results'!F42)*(MIN(1,MAX(0,F$3*EXP(F$4/$A46))))</f>
        <v>0</v>
      </c>
      <c r="G46" s="3">
        <f>('Exceedance results'!G41-'Exceedance results'!G42)*(MIN(1,MAX(0,G$3*EXP(G$4/$A46))))</f>
        <v>0</v>
      </c>
      <c r="H46" s="3">
        <f>('Exceedance results'!H41-'Exceedance results'!H42)*(MIN(1,MAX(0,H$3*EXP(H$4/$A46))))</f>
        <v>0</v>
      </c>
      <c r="I46" s="3">
        <f>('Exceedance results'!I41-'Exceedance results'!I42)*(MIN(1,MAX(0,I$3*EXP(I$4/$A46))))</f>
        <v>0</v>
      </c>
      <c r="J46" s="3">
        <f>('Exceedance results'!J41-'Exceedance results'!J42)*(MIN(1,MAX(0,J$3*EXP(J$4/$A46))))</f>
        <v>0</v>
      </c>
      <c r="K46" s="3">
        <f>('Exceedance results'!K41-'Exceedance results'!K42)*(MIN(1,MAX(0,K$3*EXP(K$4/$A46))))</f>
        <v>0</v>
      </c>
      <c r="L46" s="3">
        <f>('Exceedance results'!L41-'Exceedance results'!L42)*(MIN(1,MAX(0,L$3*EXP(L$4/$A46))))</f>
        <v>0</v>
      </c>
    </row>
    <row r="47" spans="1:12" x14ac:dyDescent="0.2">
      <c r="A47" s="4">
        <f>'Exceedance results'!A42</f>
        <v>1E-3</v>
      </c>
      <c r="B47" s="3">
        <f>('Exceedance results'!B42-'Exceedance results'!B43)*(MIN(1,MAX(0,B$3*EXP(B$4/$A47))))</f>
        <v>0</v>
      </c>
      <c r="C47" s="3">
        <f>('Exceedance results'!C42-'Exceedance results'!C43)*(MIN(1,MAX(0,C$3*EXP(C$4/$A47))))</f>
        <v>0</v>
      </c>
      <c r="D47" s="3">
        <f>('Exceedance results'!D42-'Exceedance results'!D43)*(MIN(1,MAX(0,D$3*EXP(D$4/$A47))))</f>
        <v>0</v>
      </c>
      <c r="E47" s="3">
        <f>('Exceedance results'!E42-'Exceedance results'!E43)*(MIN(1,MAX(0,E$3*EXP(E$4/$A47))))</f>
        <v>0</v>
      </c>
      <c r="F47" s="3">
        <f>('Exceedance results'!F42-'Exceedance results'!F43)*(MIN(1,MAX(0,F$3*EXP(F$4/$A47))))</f>
        <v>0</v>
      </c>
      <c r="G47" s="3">
        <f>('Exceedance results'!G42-'Exceedance results'!G43)*(MIN(1,MAX(0,G$3*EXP(G$4/$A47))))</f>
        <v>0</v>
      </c>
      <c r="H47" s="3">
        <f>('Exceedance results'!H42-'Exceedance results'!H43)*(MIN(1,MAX(0,H$3*EXP(H$4/$A47))))</f>
        <v>0</v>
      </c>
      <c r="I47" s="3">
        <f>('Exceedance results'!I42-'Exceedance results'!I43)*(MIN(1,MAX(0,I$3*EXP(I$4/$A47))))</f>
        <v>0</v>
      </c>
      <c r="J47" s="3">
        <f>('Exceedance results'!J42-'Exceedance results'!J43)*(MIN(1,MAX(0,J$3*EXP(J$4/$A47))))</f>
        <v>0</v>
      </c>
      <c r="K47" s="3">
        <f>('Exceedance results'!K42-'Exceedance results'!K43)*(MIN(1,MAX(0,K$3*EXP(K$4/$A47))))</f>
        <v>0</v>
      </c>
      <c r="L47" s="3">
        <f>('Exceedance results'!L42-'Exceedance results'!L43)*(MIN(1,MAX(0,L$3*EXP(L$4/$A47))))</f>
        <v>0</v>
      </c>
    </row>
    <row r="48" spans="1:12" x14ac:dyDescent="0.2">
      <c r="A48" s="4">
        <f>'Exceedance results'!A43</f>
        <v>1E-3</v>
      </c>
      <c r="B48" s="3">
        <f>('Exceedance results'!B43-'Exceedance results'!B44)*(MIN(1,MAX(0,B$3*EXP(B$4/$A48))))</f>
        <v>0</v>
      </c>
      <c r="C48" s="3">
        <f>('Exceedance results'!C43-'Exceedance results'!C44)*(MIN(1,MAX(0,C$3*EXP(C$4/$A48))))</f>
        <v>0</v>
      </c>
      <c r="D48" s="3">
        <f>('Exceedance results'!D43-'Exceedance results'!D44)*(MIN(1,MAX(0,D$3*EXP(D$4/$A48))))</f>
        <v>0</v>
      </c>
      <c r="E48" s="3">
        <f>('Exceedance results'!E43-'Exceedance results'!E44)*(MIN(1,MAX(0,E$3*EXP(E$4/$A48))))</f>
        <v>0</v>
      </c>
      <c r="F48" s="3">
        <f>('Exceedance results'!F43-'Exceedance results'!F44)*(MIN(1,MAX(0,F$3*EXP(F$4/$A48))))</f>
        <v>0</v>
      </c>
      <c r="G48" s="3">
        <f>('Exceedance results'!G43-'Exceedance results'!G44)*(MIN(1,MAX(0,G$3*EXP(G$4/$A48))))</f>
        <v>0</v>
      </c>
      <c r="H48" s="3">
        <f>('Exceedance results'!H43-'Exceedance results'!H44)*(MIN(1,MAX(0,H$3*EXP(H$4/$A48))))</f>
        <v>0</v>
      </c>
      <c r="I48" s="3">
        <f>('Exceedance results'!I43-'Exceedance results'!I44)*(MIN(1,MAX(0,I$3*EXP(I$4/$A48))))</f>
        <v>0</v>
      </c>
      <c r="J48" s="3">
        <f>('Exceedance results'!J43-'Exceedance results'!J44)*(MIN(1,MAX(0,J$3*EXP(J$4/$A48))))</f>
        <v>0</v>
      </c>
      <c r="K48" s="3">
        <f>('Exceedance results'!K43-'Exceedance results'!K44)*(MIN(1,MAX(0,K$3*EXP(K$4/$A48))))</f>
        <v>0</v>
      </c>
      <c r="L48" s="3">
        <f>('Exceedance results'!L43-'Exceedance results'!L44)*(MIN(1,MAX(0,L$3*EXP(L$4/$A48))))</f>
        <v>0</v>
      </c>
    </row>
    <row r="49" spans="1:12" x14ac:dyDescent="0.2">
      <c r="A49" s="4">
        <f>'Exceedance results'!A44</f>
        <v>1E-3</v>
      </c>
      <c r="B49" s="3">
        <f>('Exceedance results'!B44-'Exceedance results'!B45)*(MIN(1,MAX(0,B$3*EXP(B$4/$A49))))</f>
        <v>0</v>
      </c>
      <c r="C49" s="3">
        <f>('Exceedance results'!C44-'Exceedance results'!C45)*(MIN(1,MAX(0,C$3*EXP(C$4/$A49))))</f>
        <v>0</v>
      </c>
      <c r="D49" s="3">
        <f>('Exceedance results'!D44-'Exceedance results'!D45)*(MIN(1,MAX(0,D$3*EXP(D$4/$A49))))</f>
        <v>0</v>
      </c>
      <c r="E49" s="3">
        <f>('Exceedance results'!E44-'Exceedance results'!E45)*(MIN(1,MAX(0,E$3*EXP(E$4/$A49))))</f>
        <v>0</v>
      </c>
      <c r="F49" s="3">
        <f>('Exceedance results'!F44-'Exceedance results'!F45)*(MIN(1,MAX(0,F$3*EXP(F$4/$A49))))</f>
        <v>0</v>
      </c>
      <c r="G49" s="3">
        <f>('Exceedance results'!G44-'Exceedance results'!G45)*(MIN(1,MAX(0,G$3*EXP(G$4/$A49))))</f>
        <v>0</v>
      </c>
      <c r="H49" s="3">
        <f>('Exceedance results'!H44-'Exceedance results'!H45)*(MIN(1,MAX(0,H$3*EXP(H$4/$A49))))</f>
        <v>0</v>
      </c>
      <c r="I49" s="3">
        <f>('Exceedance results'!I44-'Exceedance results'!I45)*(MIN(1,MAX(0,I$3*EXP(I$4/$A49))))</f>
        <v>0</v>
      </c>
      <c r="J49" s="3">
        <f>('Exceedance results'!J44-'Exceedance results'!J45)*(MIN(1,MAX(0,J$3*EXP(J$4/$A49))))</f>
        <v>0</v>
      </c>
      <c r="K49" s="3">
        <f>('Exceedance results'!K44-'Exceedance results'!K45)*(MIN(1,MAX(0,K$3*EXP(K$4/$A49))))</f>
        <v>0</v>
      </c>
      <c r="L49" s="3">
        <f>('Exceedance results'!L44-'Exceedance results'!L45)*(MIN(1,MAX(0,L$3*EXP(L$4/$A49))))</f>
        <v>0</v>
      </c>
    </row>
    <row r="50" spans="1:12" x14ac:dyDescent="0.2">
      <c r="A50" s="4">
        <f>'Exceedance results'!A45</f>
        <v>1E-3</v>
      </c>
      <c r="B50" s="3">
        <f>('Exceedance results'!B45-'Exceedance results'!B46)*(MIN(1,MAX(0,B$3*EXP(B$4/$A50))))</f>
        <v>0</v>
      </c>
      <c r="C50" s="3">
        <f>('Exceedance results'!C45-'Exceedance results'!C46)*(MIN(1,MAX(0,C$3*EXP(C$4/$A50))))</f>
        <v>0</v>
      </c>
      <c r="D50" s="3">
        <f>('Exceedance results'!D45-'Exceedance results'!D46)*(MIN(1,MAX(0,D$3*EXP(D$4/$A50))))</f>
        <v>0</v>
      </c>
      <c r="E50" s="3">
        <f>('Exceedance results'!E45-'Exceedance results'!E46)*(MIN(1,MAX(0,E$3*EXP(E$4/$A50))))</f>
        <v>0</v>
      </c>
      <c r="F50" s="3">
        <f>('Exceedance results'!F45-'Exceedance results'!F46)*(MIN(1,MAX(0,F$3*EXP(F$4/$A50))))</f>
        <v>0</v>
      </c>
      <c r="G50" s="3">
        <f>('Exceedance results'!G45-'Exceedance results'!G46)*(MIN(1,MAX(0,G$3*EXP(G$4/$A50))))</f>
        <v>0</v>
      </c>
      <c r="H50" s="3">
        <f>('Exceedance results'!H45-'Exceedance results'!H46)*(MIN(1,MAX(0,H$3*EXP(H$4/$A50))))</f>
        <v>0</v>
      </c>
      <c r="I50" s="3">
        <f>('Exceedance results'!I45-'Exceedance results'!I46)*(MIN(1,MAX(0,I$3*EXP(I$4/$A50))))</f>
        <v>0</v>
      </c>
      <c r="J50" s="3">
        <f>('Exceedance results'!J45-'Exceedance results'!J46)*(MIN(1,MAX(0,J$3*EXP(J$4/$A50))))</f>
        <v>0</v>
      </c>
      <c r="K50" s="3">
        <f>('Exceedance results'!K45-'Exceedance results'!K46)*(MIN(1,MAX(0,K$3*EXP(K$4/$A50))))</f>
        <v>0</v>
      </c>
      <c r="L50" s="3">
        <f>('Exceedance results'!L45-'Exceedance results'!L46)*(MIN(1,MAX(0,L$3*EXP(L$4/$A50))))</f>
        <v>0</v>
      </c>
    </row>
    <row r="51" spans="1:12" x14ac:dyDescent="0.2">
      <c r="A51" s="4">
        <f>'Exceedance results'!A46</f>
        <v>1E-3</v>
      </c>
      <c r="B51" s="3">
        <f>('Exceedance results'!B46-'Exceedance results'!B47)*(MIN(1,MAX(0,B$3*EXP(B$4/$A51))))</f>
        <v>0</v>
      </c>
      <c r="C51" s="3">
        <f>('Exceedance results'!C46-'Exceedance results'!C47)*(MIN(1,MAX(0,C$3*EXP(C$4/$A51))))</f>
        <v>0</v>
      </c>
      <c r="D51" s="3">
        <f>('Exceedance results'!D46-'Exceedance results'!D47)*(MIN(1,MAX(0,D$3*EXP(D$4/$A51))))</f>
        <v>0</v>
      </c>
      <c r="E51" s="3">
        <f>('Exceedance results'!E46-'Exceedance results'!E47)*(MIN(1,MAX(0,E$3*EXP(E$4/$A51))))</f>
        <v>0</v>
      </c>
      <c r="F51" s="3">
        <f>('Exceedance results'!F46-'Exceedance results'!F47)*(MIN(1,MAX(0,F$3*EXP(F$4/$A51))))</f>
        <v>0</v>
      </c>
      <c r="G51" s="3">
        <f>('Exceedance results'!G46-'Exceedance results'!G47)*(MIN(1,MAX(0,G$3*EXP(G$4/$A51))))</f>
        <v>0</v>
      </c>
      <c r="H51" s="3">
        <f>('Exceedance results'!H46-'Exceedance results'!H47)*(MIN(1,MAX(0,H$3*EXP(H$4/$A51))))</f>
        <v>0</v>
      </c>
      <c r="I51" s="3">
        <f>('Exceedance results'!I46-'Exceedance results'!I47)*(MIN(1,MAX(0,I$3*EXP(I$4/$A51))))</f>
        <v>0</v>
      </c>
      <c r="J51" s="3">
        <f>('Exceedance results'!J46-'Exceedance results'!J47)*(MIN(1,MAX(0,J$3*EXP(J$4/$A51))))</f>
        <v>0</v>
      </c>
      <c r="K51" s="3">
        <f>('Exceedance results'!K46-'Exceedance results'!K47)*(MIN(1,MAX(0,K$3*EXP(K$4/$A51))))</f>
        <v>0</v>
      </c>
      <c r="L51" s="3">
        <f>('Exceedance results'!L46-'Exceedance results'!L47)*(MIN(1,MAX(0,L$3*EXP(L$4/$A51))))</f>
        <v>0</v>
      </c>
    </row>
    <row r="52" spans="1:12" x14ac:dyDescent="0.2">
      <c r="A52" s="4">
        <f>'Exceedance results'!A47</f>
        <v>1E-3</v>
      </c>
      <c r="B52" s="3">
        <f>('Exceedance results'!B47-'Exceedance results'!B48)*(MIN(1,MAX(0,B$3*EXP(B$4/$A52))))</f>
        <v>0</v>
      </c>
      <c r="C52" s="3">
        <f>('Exceedance results'!C47-'Exceedance results'!C48)*(MIN(1,MAX(0,C$3*EXP(C$4/$A52))))</f>
        <v>0</v>
      </c>
      <c r="D52" s="3">
        <f>('Exceedance results'!D47-'Exceedance results'!D48)*(MIN(1,MAX(0,D$3*EXP(D$4/$A52))))</f>
        <v>0</v>
      </c>
      <c r="E52" s="3">
        <f>('Exceedance results'!E47-'Exceedance results'!E48)*(MIN(1,MAX(0,E$3*EXP(E$4/$A52))))</f>
        <v>0</v>
      </c>
      <c r="F52" s="3">
        <f>('Exceedance results'!F47-'Exceedance results'!F48)*(MIN(1,MAX(0,F$3*EXP(F$4/$A52))))</f>
        <v>0</v>
      </c>
      <c r="G52" s="3">
        <f>('Exceedance results'!G47-'Exceedance results'!G48)*(MIN(1,MAX(0,G$3*EXP(G$4/$A52))))</f>
        <v>0</v>
      </c>
      <c r="H52" s="3">
        <f>('Exceedance results'!H47-'Exceedance results'!H48)*(MIN(1,MAX(0,H$3*EXP(H$4/$A52))))</f>
        <v>0</v>
      </c>
      <c r="I52" s="3">
        <f>('Exceedance results'!I47-'Exceedance results'!I48)*(MIN(1,MAX(0,I$3*EXP(I$4/$A52))))</f>
        <v>0</v>
      </c>
      <c r="J52" s="3">
        <f>('Exceedance results'!J47-'Exceedance results'!J48)*(MIN(1,MAX(0,J$3*EXP(J$4/$A52))))</f>
        <v>0</v>
      </c>
      <c r="K52" s="3">
        <f>('Exceedance results'!K47-'Exceedance results'!K48)*(MIN(1,MAX(0,K$3*EXP(K$4/$A52))))</f>
        <v>0</v>
      </c>
      <c r="L52" s="3">
        <f>('Exceedance results'!L47-'Exceedance results'!L48)*(MIN(1,MAX(0,L$3*EXP(L$4/$A52))))</f>
        <v>0</v>
      </c>
    </row>
    <row r="53" spans="1:12" x14ac:dyDescent="0.2">
      <c r="A53" s="4">
        <f>'Exceedance results'!A48</f>
        <v>1E-3</v>
      </c>
      <c r="B53" s="3">
        <f>('Exceedance results'!B48-'Exceedance results'!B49)*(MIN(1,MAX(0,B$3*EXP(B$4/$A53))))</f>
        <v>0</v>
      </c>
      <c r="C53" s="3">
        <f>('Exceedance results'!C48-'Exceedance results'!C49)*(MIN(1,MAX(0,C$3*EXP(C$4/$A53))))</f>
        <v>0</v>
      </c>
      <c r="D53" s="3">
        <f>('Exceedance results'!D48-'Exceedance results'!D49)*(MIN(1,MAX(0,D$3*EXP(D$4/$A53))))</f>
        <v>0</v>
      </c>
      <c r="E53" s="3">
        <f>('Exceedance results'!E48-'Exceedance results'!E49)*(MIN(1,MAX(0,E$3*EXP(E$4/$A53))))</f>
        <v>0</v>
      </c>
      <c r="F53" s="3">
        <f>('Exceedance results'!F48-'Exceedance results'!F49)*(MIN(1,MAX(0,F$3*EXP(F$4/$A53))))</f>
        <v>0</v>
      </c>
      <c r="G53" s="3">
        <f>('Exceedance results'!G48-'Exceedance results'!G49)*(MIN(1,MAX(0,G$3*EXP(G$4/$A53))))</f>
        <v>0</v>
      </c>
      <c r="H53" s="3">
        <f>('Exceedance results'!H48-'Exceedance results'!H49)*(MIN(1,MAX(0,H$3*EXP(H$4/$A53))))</f>
        <v>0</v>
      </c>
      <c r="I53" s="3">
        <f>('Exceedance results'!I48-'Exceedance results'!I49)*(MIN(1,MAX(0,I$3*EXP(I$4/$A53))))</f>
        <v>0</v>
      </c>
      <c r="J53" s="3">
        <f>('Exceedance results'!J48-'Exceedance results'!J49)*(MIN(1,MAX(0,J$3*EXP(J$4/$A53))))</f>
        <v>0</v>
      </c>
      <c r="K53" s="3">
        <f>('Exceedance results'!K48-'Exceedance results'!K49)*(MIN(1,MAX(0,K$3*EXP(K$4/$A53))))</f>
        <v>0</v>
      </c>
      <c r="L53" s="3">
        <f>('Exceedance results'!L48-'Exceedance results'!L49)*(MIN(1,MAX(0,L$3*EXP(L$4/$A53))))</f>
        <v>0</v>
      </c>
    </row>
    <row r="54" spans="1:12" x14ac:dyDescent="0.2">
      <c r="A54" s="4">
        <f>'Exceedance results'!A49</f>
        <v>1E-3</v>
      </c>
      <c r="B54" s="3">
        <f>('Exceedance results'!B49-'Exceedance results'!B50)*(MIN(1,MAX(0,B$3*EXP(B$4/$A54))))</f>
        <v>0</v>
      </c>
      <c r="C54" s="3">
        <f>('Exceedance results'!C49-'Exceedance results'!C50)*(MIN(1,MAX(0,C$3*EXP(C$4/$A54))))</f>
        <v>0</v>
      </c>
      <c r="D54" s="3">
        <f>('Exceedance results'!D49-'Exceedance results'!D50)*(MIN(1,MAX(0,D$3*EXP(D$4/$A54))))</f>
        <v>0</v>
      </c>
      <c r="E54" s="3">
        <f>('Exceedance results'!E49-'Exceedance results'!E50)*(MIN(1,MAX(0,E$3*EXP(E$4/$A54))))</f>
        <v>0</v>
      </c>
      <c r="F54" s="3">
        <f>('Exceedance results'!F49-'Exceedance results'!F50)*(MIN(1,MAX(0,F$3*EXP(F$4/$A54))))</f>
        <v>0</v>
      </c>
      <c r="G54" s="3">
        <f>('Exceedance results'!G49-'Exceedance results'!G50)*(MIN(1,MAX(0,G$3*EXP(G$4/$A54))))</f>
        <v>0</v>
      </c>
      <c r="H54" s="3">
        <f>('Exceedance results'!H49-'Exceedance results'!H50)*(MIN(1,MAX(0,H$3*EXP(H$4/$A54))))</f>
        <v>0</v>
      </c>
      <c r="I54" s="3">
        <f>('Exceedance results'!I49-'Exceedance results'!I50)*(MIN(1,MAX(0,I$3*EXP(I$4/$A54))))</f>
        <v>0</v>
      </c>
      <c r="J54" s="3">
        <f>('Exceedance results'!J49-'Exceedance results'!J50)*(MIN(1,MAX(0,J$3*EXP(J$4/$A54))))</f>
        <v>0</v>
      </c>
      <c r="K54" s="3">
        <f>('Exceedance results'!K49-'Exceedance results'!K50)*(MIN(1,MAX(0,K$3*EXP(K$4/$A54))))</f>
        <v>0</v>
      </c>
      <c r="L54" s="3">
        <f>('Exceedance results'!L49-'Exceedance results'!L50)*(MIN(1,MAX(0,L$3*EXP(L$4/$A54))))</f>
        <v>0</v>
      </c>
    </row>
    <row r="55" spans="1:12" x14ac:dyDescent="0.2">
      <c r="A55" s="4">
        <f>'Exceedance results'!A50</f>
        <v>1E-3</v>
      </c>
      <c r="B55" s="3">
        <f>('Exceedance results'!B50-'Exceedance results'!B51)*(MIN(1,MAX(0,B$3*EXP(B$4/$A55))))</f>
        <v>0</v>
      </c>
      <c r="C55" s="3">
        <f>('Exceedance results'!C50-'Exceedance results'!C51)*(MIN(1,MAX(0,C$3*EXP(C$4/$A55))))</f>
        <v>0</v>
      </c>
      <c r="D55" s="3">
        <f>('Exceedance results'!D50-'Exceedance results'!D51)*(MIN(1,MAX(0,D$3*EXP(D$4/$A55))))</f>
        <v>0</v>
      </c>
      <c r="E55" s="3">
        <f>('Exceedance results'!E50-'Exceedance results'!E51)*(MIN(1,MAX(0,E$3*EXP(E$4/$A55))))</f>
        <v>0</v>
      </c>
      <c r="F55" s="3">
        <f>('Exceedance results'!F50-'Exceedance results'!F51)*(MIN(1,MAX(0,F$3*EXP(F$4/$A55))))</f>
        <v>0</v>
      </c>
      <c r="G55" s="3">
        <f>('Exceedance results'!G50-'Exceedance results'!G51)*(MIN(1,MAX(0,G$3*EXP(G$4/$A55))))</f>
        <v>0</v>
      </c>
      <c r="H55" s="3">
        <f>('Exceedance results'!H50-'Exceedance results'!H51)*(MIN(1,MAX(0,H$3*EXP(H$4/$A55))))</f>
        <v>0</v>
      </c>
      <c r="I55" s="3">
        <f>('Exceedance results'!I50-'Exceedance results'!I51)*(MIN(1,MAX(0,I$3*EXP(I$4/$A55))))</f>
        <v>0</v>
      </c>
      <c r="J55" s="3">
        <f>('Exceedance results'!J50-'Exceedance results'!J51)*(MIN(1,MAX(0,J$3*EXP(J$4/$A55))))</f>
        <v>0</v>
      </c>
      <c r="K55" s="3">
        <f>('Exceedance results'!K50-'Exceedance results'!K51)*(MIN(1,MAX(0,K$3*EXP(K$4/$A55))))</f>
        <v>0</v>
      </c>
      <c r="L55" s="3">
        <f>('Exceedance results'!L50-'Exceedance results'!L51)*(MIN(1,MAX(0,L$3*EXP(L$4/$A55))))</f>
        <v>0</v>
      </c>
    </row>
    <row r="56" spans="1:12" x14ac:dyDescent="0.2">
      <c r="A56" s="4">
        <f>'Exceedance results'!A51</f>
        <v>1E-3</v>
      </c>
      <c r="B56" s="3">
        <f>('Exceedance results'!B51-'Exceedance results'!B52)*(MIN(1,MAX(0,B$3*EXP(B$4/$A56))))</f>
        <v>0</v>
      </c>
      <c r="C56" s="3">
        <f>('Exceedance results'!C51-'Exceedance results'!C52)*(MIN(1,MAX(0,C$3*EXP(C$4/$A56))))</f>
        <v>0</v>
      </c>
      <c r="D56" s="3">
        <f>('Exceedance results'!D51-'Exceedance results'!D52)*(MIN(1,MAX(0,D$3*EXP(D$4/$A56))))</f>
        <v>0</v>
      </c>
      <c r="E56" s="3">
        <f>('Exceedance results'!E51-'Exceedance results'!E52)*(MIN(1,MAX(0,E$3*EXP(E$4/$A56))))</f>
        <v>0</v>
      </c>
      <c r="F56" s="3">
        <f>('Exceedance results'!F51-'Exceedance results'!F52)*(MIN(1,MAX(0,F$3*EXP(F$4/$A56))))</f>
        <v>0</v>
      </c>
      <c r="G56" s="3">
        <f>('Exceedance results'!G51-'Exceedance results'!G52)*(MIN(1,MAX(0,G$3*EXP(G$4/$A56))))</f>
        <v>0</v>
      </c>
      <c r="H56" s="3">
        <f>('Exceedance results'!H51-'Exceedance results'!H52)*(MIN(1,MAX(0,H$3*EXP(H$4/$A56))))</f>
        <v>0</v>
      </c>
      <c r="I56" s="3">
        <f>('Exceedance results'!I51-'Exceedance results'!I52)*(MIN(1,MAX(0,I$3*EXP(I$4/$A56))))</f>
        <v>0</v>
      </c>
      <c r="J56" s="3">
        <f>('Exceedance results'!J51-'Exceedance results'!J52)*(MIN(1,MAX(0,J$3*EXP(J$4/$A56))))</f>
        <v>0</v>
      </c>
      <c r="K56" s="3">
        <f>('Exceedance results'!K51-'Exceedance results'!K52)*(MIN(1,MAX(0,K$3*EXP(K$4/$A56))))</f>
        <v>0</v>
      </c>
      <c r="L56" s="3">
        <f>('Exceedance results'!L51-'Exceedance results'!L52)*(MIN(1,MAX(0,L$3*EXP(L$4/$A56))))</f>
        <v>0</v>
      </c>
    </row>
    <row r="57" spans="1:12" x14ac:dyDescent="0.2">
      <c r="A57" s="4">
        <f>'Exceedance results'!A52</f>
        <v>1E-3</v>
      </c>
      <c r="B57" s="3">
        <f>('Exceedance results'!B52-'Exceedance results'!B53)*(MIN(1,MAX(0,B$3*EXP(B$4/$A57))))</f>
        <v>0</v>
      </c>
      <c r="C57" s="3">
        <f>('Exceedance results'!C52-'Exceedance results'!C53)*(MIN(1,MAX(0,C$3*EXP(C$4/$A57))))</f>
        <v>0</v>
      </c>
      <c r="D57" s="3">
        <f>('Exceedance results'!D52-'Exceedance results'!D53)*(MIN(1,MAX(0,D$3*EXP(D$4/$A57))))</f>
        <v>0</v>
      </c>
      <c r="E57" s="3">
        <f>('Exceedance results'!E52-'Exceedance results'!E53)*(MIN(1,MAX(0,E$3*EXP(E$4/$A57))))</f>
        <v>0</v>
      </c>
      <c r="F57" s="3">
        <f>('Exceedance results'!F52-'Exceedance results'!F53)*(MIN(1,MAX(0,F$3*EXP(F$4/$A57))))</f>
        <v>0</v>
      </c>
      <c r="G57" s="3">
        <f>('Exceedance results'!G52-'Exceedance results'!G53)*(MIN(1,MAX(0,G$3*EXP(G$4/$A57))))</f>
        <v>0</v>
      </c>
      <c r="H57" s="3">
        <f>('Exceedance results'!H52-'Exceedance results'!H53)*(MIN(1,MAX(0,H$3*EXP(H$4/$A57))))</f>
        <v>0</v>
      </c>
      <c r="I57" s="3">
        <f>('Exceedance results'!I52-'Exceedance results'!I53)*(MIN(1,MAX(0,I$3*EXP(I$4/$A57))))</f>
        <v>0</v>
      </c>
      <c r="J57" s="3">
        <f>('Exceedance results'!J52-'Exceedance results'!J53)*(MIN(1,MAX(0,J$3*EXP(J$4/$A57))))</f>
        <v>0</v>
      </c>
      <c r="K57" s="3">
        <f>('Exceedance results'!K52-'Exceedance results'!K53)*(MIN(1,MAX(0,K$3*EXP(K$4/$A57))))</f>
        <v>0</v>
      </c>
      <c r="L57" s="3">
        <f>('Exceedance results'!L52-'Exceedance results'!L53)*(MIN(1,MAX(0,L$3*EXP(L$4/$A57))))</f>
        <v>0</v>
      </c>
    </row>
    <row r="58" spans="1:12" x14ac:dyDescent="0.2">
      <c r="A58" s="4">
        <f>'Exceedance results'!A53</f>
        <v>1E-3</v>
      </c>
      <c r="B58" s="3">
        <f>('Exceedance results'!B53-'Exceedance results'!B54)*(MIN(1,MAX(0,B$3*EXP(B$4/$A58))))</f>
        <v>0</v>
      </c>
      <c r="C58" s="3">
        <f>('Exceedance results'!C53-'Exceedance results'!C54)*(MIN(1,MAX(0,C$3*EXP(C$4/$A58))))</f>
        <v>0</v>
      </c>
      <c r="D58" s="3">
        <f>('Exceedance results'!D53-'Exceedance results'!D54)*(MIN(1,MAX(0,D$3*EXP(D$4/$A58))))</f>
        <v>0</v>
      </c>
      <c r="E58" s="3">
        <f>('Exceedance results'!E53-'Exceedance results'!E54)*(MIN(1,MAX(0,E$3*EXP(E$4/$A58))))</f>
        <v>0</v>
      </c>
      <c r="F58" s="3">
        <f>('Exceedance results'!F53-'Exceedance results'!F54)*(MIN(1,MAX(0,F$3*EXP(F$4/$A58))))</f>
        <v>0</v>
      </c>
      <c r="G58" s="3">
        <f>('Exceedance results'!G53-'Exceedance results'!G54)*(MIN(1,MAX(0,G$3*EXP(G$4/$A58))))</f>
        <v>0</v>
      </c>
      <c r="H58" s="3">
        <f>('Exceedance results'!H53-'Exceedance results'!H54)*(MIN(1,MAX(0,H$3*EXP(H$4/$A58))))</f>
        <v>0</v>
      </c>
      <c r="I58" s="3">
        <f>('Exceedance results'!I53-'Exceedance results'!I54)*(MIN(1,MAX(0,I$3*EXP(I$4/$A58))))</f>
        <v>0</v>
      </c>
      <c r="J58" s="3">
        <f>('Exceedance results'!J53-'Exceedance results'!J54)*(MIN(1,MAX(0,J$3*EXP(J$4/$A58))))</f>
        <v>0</v>
      </c>
      <c r="K58" s="3">
        <f>('Exceedance results'!K53-'Exceedance results'!K54)*(MIN(1,MAX(0,K$3*EXP(K$4/$A58))))</f>
        <v>0</v>
      </c>
      <c r="L58" s="3">
        <f>('Exceedance results'!L53-'Exceedance results'!L54)*(MIN(1,MAX(0,L$3*EXP(L$4/$A58))))</f>
        <v>0</v>
      </c>
    </row>
    <row r="59" spans="1:12" x14ac:dyDescent="0.2">
      <c r="A59" s="4">
        <f>'Exceedance results'!A54</f>
        <v>1E-3</v>
      </c>
      <c r="B59" s="3">
        <f>('Exceedance results'!B54-'Exceedance results'!B55)*(MIN(1,MAX(0,B$3*EXP(B$4/$A59))))</f>
        <v>0</v>
      </c>
      <c r="C59" s="3">
        <f>('Exceedance results'!C54-'Exceedance results'!C55)*(MIN(1,MAX(0,C$3*EXP(C$4/$A59))))</f>
        <v>0</v>
      </c>
      <c r="D59" s="3">
        <f>('Exceedance results'!D54-'Exceedance results'!D55)*(MIN(1,MAX(0,D$3*EXP(D$4/$A59))))</f>
        <v>0</v>
      </c>
      <c r="E59" s="3">
        <f>('Exceedance results'!E54-'Exceedance results'!E55)*(MIN(1,MAX(0,E$3*EXP(E$4/$A59))))</f>
        <v>0</v>
      </c>
      <c r="F59" s="3">
        <f>('Exceedance results'!F54-'Exceedance results'!F55)*(MIN(1,MAX(0,F$3*EXP(F$4/$A59))))</f>
        <v>0</v>
      </c>
      <c r="G59" s="3">
        <f>('Exceedance results'!G54-'Exceedance results'!G55)*(MIN(1,MAX(0,G$3*EXP(G$4/$A59))))</f>
        <v>0</v>
      </c>
      <c r="H59" s="3">
        <f>('Exceedance results'!H54-'Exceedance results'!H55)*(MIN(1,MAX(0,H$3*EXP(H$4/$A59))))</f>
        <v>0</v>
      </c>
      <c r="I59" s="3">
        <f>('Exceedance results'!I54-'Exceedance results'!I55)*(MIN(1,MAX(0,I$3*EXP(I$4/$A59))))</f>
        <v>0</v>
      </c>
      <c r="J59" s="3">
        <f>('Exceedance results'!J54-'Exceedance results'!J55)*(MIN(1,MAX(0,J$3*EXP(J$4/$A59))))</f>
        <v>0</v>
      </c>
      <c r="K59" s="3">
        <f>('Exceedance results'!K54-'Exceedance results'!K55)*(MIN(1,MAX(0,K$3*EXP(K$4/$A59))))</f>
        <v>0</v>
      </c>
      <c r="L59" s="3">
        <f>('Exceedance results'!L54-'Exceedance results'!L55)*(MIN(1,MAX(0,L$3*EXP(L$4/$A59))))</f>
        <v>0</v>
      </c>
    </row>
    <row r="60" spans="1:12" x14ac:dyDescent="0.2">
      <c r="A60" s="4">
        <f>'Exceedance results'!A55</f>
        <v>1E-3</v>
      </c>
      <c r="B60" s="3">
        <f>('Exceedance results'!B55-'Exceedance results'!B56)*(MIN(1,MAX(0,B$3*EXP(B$4/$A60))))</f>
        <v>0</v>
      </c>
      <c r="C60" s="3">
        <f>('Exceedance results'!C55-'Exceedance results'!C56)*(MIN(1,MAX(0,C$3*EXP(C$4/$A60))))</f>
        <v>0</v>
      </c>
      <c r="D60" s="3">
        <f>('Exceedance results'!D55-'Exceedance results'!D56)*(MIN(1,MAX(0,D$3*EXP(D$4/$A60))))</f>
        <v>0</v>
      </c>
      <c r="E60" s="3">
        <f>('Exceedance results'!E55-'Exceedance results'!E56)*(MIN(1,MAX(0,E$3*EXP(E$4/$A60))))</f>
        <v>0</v>
      </c>
      <c r="F60" s="3">
        <f>('Exceedance results'!F55-'Exceedance results'!F56)*(MIN(1,MAX(0,F$3*EXP(F$4/$A60))))</f>
        <v>0</v>
      </c>
      <c r="G60" s="3">
        <f>('Exceedance results'!G55-'Exceedance results'!G56)*(MIN(1,MAX(0,G$3*EXP(G$4/$A60))))</f>
        <v>0</v>
      </c>
      <c r="H60" s="3">
        <f>('Exceedance results'!H55-'Exceedance results'!H56)*(MIN(1,MAX(0,H$3*EXP(H$4/$A60))))</f>
        <v>0</v>
      </c>
      <c r="I60" s="3">
        <f>('Exceedance results'!I55-'Exceedance results'!I56)*(MIN(1,MAX(0,I$3*EXP(I$4/$A60))))</f>
        <v>0</v>
      </c>
      <c r="J60" s="3">
        <f>('Exceedance results'!J55-'Exceedance results'!J56)*(MIN(1,MAX(0,J$3*EXP(J$4/$A60))))</f>
        <v>0</v>
      </c>
      <c r="K60" s="3">
        <f>('Exceedance results'!K55-'Exceedance results'!K56)*(MIN(1,MAX(0,K$3*EXP(K$4/$A60))))</f>
        <v>0</v>
      </c>
      <c r="L60" s="3">
        <f>('Exceedance results'!L55-'Exceedance results'!L56)*(MIN(1,MAX(0,L$3*EXP(L$4/$A60))))</f>
        <v>0</v>
      </c>
    </row>
    <row r="61" spans="1:12" x14ac:dyDescent="0.2">
      <c r="A61" s="4">
        <f>'Exceedance results'!A56</f>
        <v>1E-3</v>
      </c>
      <c r="B61" s="3">
        <f>('Exceedance results'!B56-'Exceedance results'!B57)*(MIN(1,MAX(0,B$3*EXP(B$4/$A61))))</f>
        <v>0</v>
      </c>
      <c r="C61" s="3">
        <f>('Exceedance results'!C56-'Exceedance results'!C57)*(MIN(1,MAX(0,C$3*EXP(C$4/$A61))))</f>
        <v>0</v>
      </c>
      <c r="D61" s="3">
        <f>('Exceedance results'!D56-'Exceedance results'!D57)*(MIN(1,MAX(0,D$3*EXP(D$4/$A61))))</f>
        <v>0</v>
      </c>
      <c r="E61" s="3">
        <f>('Exceedance results'!E56-'Exceedance results'!E57)*(MIN(1,MAX(0,E$3*EXP(E$4/$A61))))</f>
        <v>0</v>
      </c>
      <c r="F61" s="3">
        <f>('Exceedance results'!F56-'Exceedance results'!F57)*(MIN(1,MAX(0,F$3*EXP(F$4/$A61))))</f>
        <v>0</v>
      </c>
      <c r="G61" s="3">
        <f>('Exceedance results'!G56-'Exceedance results'!G57)*(MIN(1,MAX(0,G$3*EXP(G$4/$A61))))</f>
        <v>0</v>
      </c>
      <c r="H61" s="3">
        <f>('Exceedance results'!H56-'Exceedance results'!H57)*(MIN(1,MAX(0,H$3*EXP(H$4/$A61))))</f>
        <v>0</v>
      </c>
      <c r="I61" s="3">
        <f>('Exceedance results'!I56-'Exceedance results'!I57)*(MIN(1,MAX(0,I$3*EXP(I$4/$A61))))</f>
        <v>0</v>
      </c>
      <c r="J61" s="3">
        <f>('Exceedance results'!J56-'Exceedance results'!J57)*(MIN(1,MAX(0,J$3*EXP(J$4/$A61))))</f>
        <v>0</v>
      </c>
      <c r="K61" s="3">
        <f>('Exceedance results'!K56-'Exceedance results'!K57)*(MIN(1,MAX(0,K$3*EXP(K$4/$A61))))</f>
        <v>0</v>
      </c>
      <c r="L61" s="3">
        <f>('Exceedance results'!L56-'Exceedance results'!L57)*(MIN(1,MAX(0,L$3*EXP(L$4/$A61))))</f>
        <v>0</v>
      </c>
    </row>
    <row r="62" spans="1:12" x14ac:dyDescent="0.2">
      <c r="A62" s="4">
        <f>'Exceedance results'!A57</f>
        <v>1E-3</v>
      </c>
      <c r="B62" s="3">
        <f>('Exceedance results'!B57-'Exceedance results'!B58)*(MIN(1,MAX(0,B$3*EXP(B$4/$A62))))</f>
        <v>0</v>
      </c>
      <c r="C62" s="3">
        <f>('Exceedance results'!C57-'Exceedance results'!C58)*(MIN(1,MAX(0,C$3*EXP(C$4/$A62))))</f>
        <v>0</v>
      </c>
      <c r="D62" s="3">
        <f>('Exceedance results'!D57-'Exceedance results'!D58)*(MIN(1,MAX(0,D$3*EXP(D$4/$A62))))</f>
        <v>0</v>
      </c>
      <c r="E62" s="3">
        <f>('Exceedance results'!E57-'Exceedance results'!E58)*(MIN(1,MAX(0,E$3*EXP(E$4/$A62))))</f>
        <v>0</v>
      </c>
      <c r="F62" s="3">
        <f>('Exceedance results'!F57-'Exceedance results'!F58)*(MIN(1,MAX(0,F$3*EXP(F$4/$A62))))</f>
        <v>0</v>
      </c>
      <c r="G62" s="3">
        <f>('Exceedance results'!G57-'Exceedance results'!G58)*(MIN(1,MAX(0,G$3*EXP(G$4/$A62))))</f>
        <v>0</v>
      </c>
      <c r="H62" s="3">
        <f>('Exceedance results'!H57-'Exceedance results'!H58)*(MIN(1,MAX(0,H$3*EXP(H$4/$A62))))</f>
        <v>0</v>
      </c>
      <c r="I62" s="3">
        <f>('Exceedance results'!I57-'Exceedance results'!I58)*(MIN(1,MAX(0,I$3*EXP(I$4/$A62))))</f>
        <v>0</v>
      </c>
      <c r="J62" s="3">
        <f>('Exceedance results'!J57-'Exceedance results'!J58)*(MIN(1,MAX(0,J$3*EXP(J$4/$A62))))</f>
        <v>0</v>
      </c>
      <c r="K62" s="3">
        <f>('Exceedance results'!K57-'Exceedance results'!K58)*(MIN(1,MAX(0,K$3*EXP(K$4/$A62))))</f>
        <v>0</v>
      </c>
      <c r="L62" s="3">
        <f>('Exceedance results'!L57-'Exceedance results'!L58)*(MIN(1,MAX(0,L$3*EXP(L$4/$A62))))</f>
        <v>0</v>
      </c>
    </row>
    <row r="63" spans="1:12" x14ac:dyDescent="0.2">
      <c r="A63" s="4">
        <f>'Exceedance results'!A58</f>
        <v>1E-3</v>
      </c>
      <c r="B63" s="3">
        <f>('Exceedance results'!B58-'Exceedance results'!B59)*(MIN(1,MAX(0,B$3*EXP(B$4/$A63))))</f>
        <v>0</v>
      </c>
      <c r="C63" s="3">
        <f>('Exceedance results'!C58-'Exceedance results'!C59)*(MIN(1,MAX(0,C$3*EXP(C$4/$A63))))</f>
        <v>0</v>
      </c>
      <c r="D63" s="3">
        <f>('Exceedance results'!D58-'Exceedance results'!D59)*(MIN(1,MAX(0,D$3*EXP(D$4/$A63))))</f>
        <v>0</v>
      </c>
      <c r="E63" s="3">
        <f>('Exceedance results'!E58-'Exceedance results'!E59)*(MIN(1,MAX(0,E$3*EXP(E$4/$A63))))</f>
        <v>0</v>
      </c>
      <c r="F63" s="3">
        <f>('Exceedance results'!F58-'Exceedance results'!F59)*(MIN(1,MAX(0,F$3*EXP(F$4/$A63))))</f>
        <v>0</v>
      </c>
      <c r="G63" s="3">
        <f>('Exceedance results'!G58-'Exceedance results'!G59)*(MIN(1,MAX(0,G$3*EXP(G$4/$A63))))</f>
        <v>0</v>
      </c>
      <c r="H63" s="3">
        <f>('Exceedance results'!H58-'Exceedance results'!H59)*(MIN(1,MAX(0,H$3*EXP(H$4/$A63))))</f>
        <v>0</v>
      </c>
      <c r="I63" s="3">
        <f>('Exceedance results'!I58-'Exceedance results'!I59)*(MIN(1,MAX(0,I$3*EXP(I$4/$A63))))</f>
        <v>0</v>
      </c>
      <c r="J63" s="3">
        <f>('Exceedance results'!J58-'Exceedance results'!J59)*(MIN(1,MAX(0,J$3*EXP(J$4/$A63))))</f>
        <v>0</v>
      </c>
      <c r="K63" s="3">
        <f>('Exceedance results'!K58-'Exceedance results'!K59)*(MIN(1,MAX(0,K$3*EXP(K$4/$A63))))</f>
        <v>0</v>
      </c>
      <c r="L63" s="3">
        <f>('Exceedance results'!L58-'Exceedance results'!L59)*(MIN(1,MAX(0,L$3*EXP(L$4/$A63))))</f>
        <v>0</v>
      </c>
    </row>
    <row r="64" spans="1:12" x14ac:dyDescent="0.2">
      <c r="A64" s="4">
        <f>'Exceedance results'!A59</f>
        <v>1E-3</v>
      </c>
      <c r="B64" s="3">
        <f>('Exceedance results'!B59-'Exceedance results'!B60)*(MIN(1,MAX(0,B$3*EXP(B$4/$A64))))</f>
        <v>0</v>
      </c>
      <c r="C64" s="3">
        <f>('Exceedance results'!C59-'Exceedance results'!C60)*(MIN(1,MAX(0,C$3*EXP(C$4/$A64))))</f>
        <v>0</v>
      </c>
      <c r="D64" s="3">
        <f>('Exceedance results'!D59-'Exceedance results'!D60)*(MIN(1,MAX(0,D$3*EXP(D$4/$A64))))</f>
        <v>0</v>
      </c>
      <c r="E64" s="3">
        <f>('Exceedance results'!E59-'Exceedance results'!E60)*(MIN(1,MAX(0,E$3*EXP(E$4/$A64))))</f>
        <v>0</v>
      </c>
      <c r="F64" s="3">
        <f>('Exceedance results'!F59-'Exceedance results'!F60)*(MIN(1,MAX(0,F$3*EXP(F$4/$A64))))</f>
        <v>0</v>
      </c>
      <c r="G64" s="3">
        <f>('Exceedance results'!G59-'Exceedance results'!G60)*(MIN(1,MAX(0,G$3*EXP(G$4/$A64))))</f>
        <v>0</v>
      </c>
      <c r="H64" s="3">
        <f>('Exceedance results'!H59-'Exceedance results'!H60)*(MIN(1,MAX(0,H$3*EXP(H$4/$A64))))</f>
        <v>0</v>
      </c>
      <c r="I64" s="3">
        <f>('Exceedance results'!I59-'Exceedance results'!I60)*(MIN(1,MAX(0,I$3*EXP(I$4/$A64))))</f>
        <v>0</v>
      </c>
      <c r="J64" s="3">
        <f>('Exceedance results'!J59-'Exceedance results'!J60)*(MIN(1,MAX(0,J$3*EXP(J$4/$A64))))</f>
        <v>0</v>
      </c>
      <c r="K64" s="3">
        <f>('Exceedance results'!K59-'Exceedance results'!K60)*(MIN(1,MAX(0,K$3*EXP(K$4/$A64))))</f>
        <v>0</v>
      </c>
      <c r="L64" s="3">
        <f>('Exceedance results'!L59-'Exceedance results'!L60)*(MIN(1,MAX(0,L$3*EXP(L$4/$A64))))</f>
        <v>0</v>
      </c>
    </row>
    <row r="65" spans="1:12" x14ac:dyDescent="0.2">
      <c r="A65" s="4">
        <f>'Exceedance results'!A60</f>
        <v>1E-3</v>
      </c>
      <c r="B65" s="3">
        <f>('Exceedance results'!B60-'Exceedance results'!B61)*(MIN(1,MAX(0,B$3*EXP(B$4/$A65))))</f>
        <v>0</v>
      </c>
      <c r="C65" s="3">
        <f>('Exceedance results'!C60-'Exceedance results'!C61)*(MIN(1,MAX(0,C$3*EXP(C$4/$A65))))</f>
        <v>0</v>
      </c>
      <c r="D65" s="3">
        <f>('Exceedance results'!D60-'Exceedance results'!D61)*(MIN(1,MAX(0,D$3*EXP(D$4/$A65))))</f>
        <v>0</v>
      </c>
      <c r="E65" s="3">
        <f>('Exceedance results'!E60-'Exceedance results'!E61)*(MIN(1,MAX(0,E$3*EXP(E$4/$A65))))</f>
        <v>0</v>
      </c>
      <c r="F65" s="3">
        <f>('Exceedance results'!F60-'Exceedance results'!F61)*(MIN(1,MAX(0,F$3*EXP(F$4/$A65))))</f>
        <v>0</v>
      </c>
      <c r="G65" s="3">
        <f>('Exceedance results'!G60-'Exceedance results'!G61)*(MIN(1,MAX(0,G$3*EXP(G$4/$A65))))</f>
        <v>0</v>
      </c>
      <c r="H65" s="3">
        <f>('Exceedance results'!H60-'Exceedance results'!H61)*(MIN(1,MAX(0,H$3*EXP(H$4/$A65))))</f>
        <v>0</v>
      </c>
      <c r="I65" s="3">
        <f>('Exceedance results'!I60-'Exceedance results'!I61)*(MIN(1,MAX(0,I$3*EXP(I$4/$A65))))</f>
        <v>0</v>
      </c>
      <c r="J65" s="3">
        <f>('Exceedance results'!J60-'Exceedance results'!J61)*(MIN(1,MAX(0,J$3*EXP(J$4/$A65))))</f>
        <v>0</v>
      </c>
      <c r="K65" s="3">
        <f>('Exceedance results'!K60-'Exceedance results'!K61)*(MIN(1,MAX(0,K$3*EXP(K$4/$A65))))</f>
        <v>0</v>
      </c>
      <c r="L65" s="3">
        <f>('Exceedance results'!L60-'Exceedance results'!L61)*(MIN(1,MAX(0,L$3*EXP(L$4/$A65))))</f>
        <v>0</v>
      </c>
    </row>
    <row r="66" spans="1:12" x14ac:dyDescent="0.2">
      <c r="A66" s="4">
        <f>'Exceedance results'!A61</f>
        <v>1E-3</v>
      </c>
      <c r="B66" s="3">
        <f>('Exceedance results'!B61-'Exceedance results'!B62)*(MIN(1,MAX(0,B$3*EXP(B$4/$A66))))</f>
        <v>0</v>
      </c>
      <c r="C66" s="3">
        <f>('Exceedance results'!C61-'Exceedance results'!C62)*(MIN(1,MAX(0,C$3*EXP(C$4/$A66))))</f>
        <v>0</v>
      </c>
      <c r="D66" s="3">
        <f>('Exceedance results'!D61-'Exceedance results'!D62)*(MIN(1,MAX(0,D$3*EXP(D$4/$A66))))</f>
        <v>0</v>
      </c>
      <c r="E66" s="3">
        <f>('Exceedance results'!E61-'Exceedance results'!E62)*(MIN(1,MAX(0,E$3*EXP(E$4/$A66))))</f>
        <v>0</v>
      </c>
      <c r="F66" s="3">
        <f>('Exceedance results'!F61-'Exceedance results'!F62)*(MIN(1,MAX(0,F$3*EXP(F$4/$A66))))</f>
        <v>0</v>
      </c>
      <c r="G66" s="3">
        <f>('Exceedance results'!G61-'Exceedance results'!G62)*(MIN(1,MAX(0,G$3*EXP(G$4/$A66))))</f>
        <v>0</v>
      </c>
      <c r="H66" s="3">
        <f>('Exceedance results'!H61-'Exceedance results'!H62)*(MIN(1,MAX(0,H$3*EXP(H$4/$A66))))</f>
        <v>0</v>
      </c>
      <c r="I66" s="3">
        <f>('Exceedance results'!I61-'Exceedance results'!I62)*(MIN(1,MAX(0,I$3*EXP(I$4/$A66))))</f>
        <v>0</v>
      </c>
      <c r="J66" s="3">
        <f>('Exceedance results'!J61-'Exceedance results'!J62)*(MIN(1,MAX(0,J$3*EXP(J$4/$A66))))</f>
        <v>0</v>
      </c>
      <c r="K66" s="3">
        <f>('Exceedance results'!K61-'Exceedance results'!K62)*(MIN(1,MAX(0,K$3*EXP(K$4/$A66))))</f>
        <v>0</v>
      </c>
      <c r="L66" s="3">
        <f>('Exceedance results'!L61-'Exceedance results'!L62)*(MIN(1,MAX(0,L$3*EXP(L$4/$A66))))</f>
        <v>0</v>
      </c>
    </row>
    <row r="67" spans="1:12" x14ac:dyDescent="0.2">
      <c r="A67" s="4">
        <f>'Exceedance results'!A62</f>
        <v>1E-3</v>
      </c>
      <c r="B67" s="3">
        <f>('Exceedance results'!B62-'Exceedance results'!B63)*(MIN(1,MAX(0,B$3*EXP(B$4/$A67))))</f>
        <v>0</v>
      </c>
      <c r="C67" s="3">
        <f>('Exceedance results'!C62-'Exceedance results'!C63)*(MIN(1,MAX(0,C$3*EXP(C$4/$A67))))</f>
        <v>0</v>
      </c>
      <c r="D67" s="3">
        <f>('Exceedance results'!D62-'Exceedance results'!D63)*(MIN(1,MAX(0,D$3*EXP(D$4/$A67))))</f>
        <v>0</v>
      </c>
      <c r="E67" s="3">
        <f>('Exceedance results'!E62-'Exceedance results'!E63)*(MIN(1,MAX(0,E$3*EXP(E$4/$A67))))</f>
        <v>0</v>
      </c>
      <c r="F67" s="3">
        <f>('Exceedance results'!F62-'Exceedance results'!F63)*(MIN(1,MAX(0,F$3*EXP(F$4/$A67))))</f>
        <v>0</v>
      </c>
      <c r="G67" s="3">
        <f>('Exceedance results'!G62-'Exceedance results'!G63)*(MIN(1,MAX(0,G$3*EXP(G$4/$A67))))</f>
        <v>0</v>
      </c>
      <c r="H67" s="3">
        <f>('Exceedance results'!H62-'Exceedance results'!H63)*(MIN(1,MAX(0,H$3*EXP(H$4/$A67))))</f>
        <v>0</v>
      </c>
      <c r="I67" s="3">
        <f>('Exceedance results'!I62-'Exceedance results'!I63)*(MIN(1,MAX(0,I$3*EXP(I$4/$A67))))</f>
        <v>0</v>
      </c>
      <c r="J67" s="3">
        <f>('Exceedance results'!J62-'Exceedance results'!J63)*(MIN(1,MAX(0,J$3*EXP(J$4/$A67))))</f>
        <v>0</v>
      </c>
      <c r="K67" s="3">
        <f>('Exceedance results'!K62-'Exceedance results'!K63)*(MIN(1,MAX(0,K$3*EXP(K$4/$A67))))</f>
        <v>0</v>
      </c>
      <c r="L67" s="3">
        <f>('Exceedance results'!L62-'Exceedance results'!L63)*(MIN(1,MAX(0,L$3*EXP(L$4/$A67))))</f>
        <v>0</v>
      </c>
    </row>
    <row r="68" spans="1:12" x14ac:dyDescent="0.2">
      <c r="A68" s="4">
        <f>'Exceedance results'!A63</f>
        <v>1E-3</v>
      </c>
      <c r="B68" s="3">
        <f>('Exceedance results'!B63-'Exceedance results'!B64)*(MIN(1,MAX(0,B$3*EXP(B$4/$A68))))</f>
        <v>0</v>
      </c>
      <c r="C68" s="3">
        <f>('Exceedance results'!C63-'Exceedance results'!C64)*(MIN(1,MAX(0,C$3*EXP(C$4/$A68))))</f>
        <v>0</v>
      </c>
      <c r="D68" s="3">
        <f>('Exceedance results'!D63-'Exceedance results'!D64)*(MIN(1,MAX(0,D$3*EXP(D$4/$A68))))</f>
        <v>0</v>
      </c>
      <c r="E68" s="3">
        <f>('Exceedance results'!E63-'Exceedance results'!E64)*(MIN(1,MAX(0,E$3*EXP(E$4/$A68))))</f>
        <v>0</v>
      </c>
      <c r="F68" s="3">
        <f>('Exceedance results'!F63-'Exceedance results'!F64)*(MIN(1,MAX(0,F$3*EXP(F$4/$A68))))</f>
        <v>0</v>
      </c>
      <c r="G68" s="3">
        <f>('Exceedance results'!G63-'Exceedance results'!G64)*(MIN(1,MAX(0,G$3*EXP(G$4/$A68))))</f>
        <v>0</v>
      </c>
      <c r="H68" s="3">
        <f>('Exceedance results'!H63-'Exceedance results'!H64)*(MIN(1,MAX(0,H$3*EXP(H$4/$A68))))</f>
        <v>0</v>
      </c>
      <c r="I68" s="3">
        <f>('Exceedance results'!I63-'Exceedance results'!I64)*(MIN(1,MAX(0,I$3*EXP(I$4/$A68))))</f>
        <v>0</v>
      </c>
      <c r="J68" s="3">
        <f>('Exceedance results'!J63-'Exceedance results'!J64)*(MIN(1,MAX(0,J$3*EXP(J$4/$A68))))</f>
        <v>0</v>
      </c>
      <c r="K68" s="3">
        <f>('Exceedance results'!K63-'Exceedance results'!K64)*(MIN(1,MAX(0,K$3*EXP(K$4/$A68))))</f>
        <v>0</v>
      </c>
      <c r="L68" s="3">
        <f>('Exceedance results'!L63-'Exceedance results'!L64)*(MIN(1,MAX(0,L$3*EXP(L$4/$A68))))</f>
        <v>0</v>
      </c>
    </row>
    <row r="69" spans="1:12" x14ac:dyDescent="0.2">
      <c r="A69" s="4">
        <f>'Exceedance results'!A64</f>
        <v>1E-3</v>
      </c>
      <c r="B69" s="3">
        <f>('Exceedance results'!B64-'Exceedance results'!B65)*(MIN(1,MAX(0,B$3*EXP(B$4/$A69))))</f>
        <v>0</v>
      </c>
      <c r="C69" s="3">
        <f>('Exceedance results'!C64-'Exceedance results'!C65)*(MIN(1,MAX(0,C$3*EXP(C$4/$A69))))</f>
        <v>0</v>
      </c>
      <c r="D69" s="3">
        <f>('Exceedance results'!D64-'Exceedance results'!D65)*(MIN(1,MAX(0,D$3*EXP(D$4/$A69))))</f>
        <v>0</v>
      </c>
      <c r="E69" s="3">
        <f>('Exceedance results'!E64-'Exceedance results'!E65)*(MIN(1,MAX(0,E$3*EXP(E$4/$A69))))</f>
        <v>0</v>
      </c>
      <c r="F69" s="3">
        <f>('Exceedance results'!F64-'Exceedance results'!F65)*(MIN(1,MAX(0,F$3*EXP(F$4/$A69))))</f>
        <v>0</v>
      </c>
      <c r="G69" s="3">
        <f>('Exceedance results'!G64-'Exceedance results'!G65)*(MIN(1,MAX(0,G$3*EXP(G$4/$A69))))</f>
        <v>0</v>
      </c>
      <c r="H69" s="3">
        <f>('Exceedance results'!H64-'Exceedance results'!H65)*(MIN(1,MAX(0,H$3*EXP(H$4/$A69))))</f>
        <v>0</v>
      </c>
      <c r="I69" s="3">
        <f>('Exceedance results'!I64-'Exceedance results'!I65)*(MIN(1,MAX(0,I$3*EXP(I$4/$A69))))</f>
        <v>0</v>
      </c>
      <c r="J69" s="3">
        <f>('Exceedance results'!J64-'Exceedance results'!J65)*(MIN(1,MAX(0,J$3*EXP(J$4/$A69))))</f>
        <v>0</v>
      </c>
      <c r="K69" s="3">
        <f>('Exceedance results'!K64-'Exceedance results'!K65)*(MIN(1,MAX(0,K$3*EXP(K$4/$A69))))</f>
        <v>0</v>
      </c>
      <c r="L69" s="3">
        <f>('Exceedance results'!L64-'Exceedance results'!L65)*(MIN(1,MAX(0,L$3*EXP(L$4/$A69))))</f>
        <v>0</v>
      </c>
    </row>
    <row r="70" spans="1:12" x14ac:dyDescent="0.2">
      <c r="A70" s="4">
        <f>'Exceedance results'!A65</f>
        <v>1E-3</v>
      </c>
      <c r="B70" s="3">
        <f>('Exceedance results'!B65-'Exceedance results'!B66)*(MIN(1,MAX(0,B$3*EXP(B$4/$A70))))</f>
        <v>0</v>
      </c>
      <c r="C70" s="3">
        <f>('Exceedance results'!C65-'Exceedance results'!C66)*(MIN(1,MAX(0,C$3*EXP(C$4/$A70))))</f>
        <v>0</v>
      </c>
      <c r="D70" s="3">
        <f>('Exceedance results'!D65-'Exceedance results'!D66)*(MIN(1,MAX(0,D$3*EXP(D$4/$A70))))</f>
        <v>0</v>
      </c>
      <c r="E70" s="3">
        <f>('Exceedance results'!E65-'Exceedance results'!E66)*(MIN(1,MAX(0,E$3*EXP(E$4/$A70))))</f>
        <v>0</v>
      </c>
      <c r="F70" s="3">
        <f>('Exceedance results'!F65-'Exceedance results'!F66)*(MIN(1,MAX(0,F$3*EXP(F$4/$A70))))</f>
        <v>0</v>
      </c>
      <c r="G70" s="3">
        <f>('Exceedance results'!G65-'Exceedance results'!G66)*(MIN(1,MAX(0,G$3*EXP(G$4/$A70))))</f>
        <v>0</v>
      </c>
      <c r="H70" s="3">
        <f>('Exceedance results'!H65-'Exceedance results'!H66)*(MIN(1,MAX(0,H$3*EXP(H$4/$A70))))</f>
        <v>0</v>
      </c>
      <c r="I70" s="3">
        <f>('Exceedance results'!I65-'Exceedance results'!I66)*(MIN(1,MAX(0,I$3*EXP(I$4/$A70))))</f>
        <v>0</v>
      </c>
      <c r="J70" s="3">
        <f>('Exceedance results'!J65-'Exceedance results'!J66)*(MIN(1,MAX(0,J$3*EXP(J$4/$A70))))</f>
        <v>0</v>
      </c>
      <c r="K70" s="3">
        <f>('Exceedance results'!K65-'Exceedance results'!K66)*(MIN(1,MAX(0,K$3*EXP(K$4/$A70))))</f>
        <v>0</v>
      </c>
      <c r="L70" s="3">
        <f>('Exceedance results'!L65-'Exceedance results'!L66)*(MIN(1,MAX(0,L$3*EXP(L$4/$A70))))</f>
        <v>0</v>
      </c>
    </row>
    <row r="71" spans="1:12" x14ac:dyDescent="0.2">
      <c r="A71" s="4">
        <f>'Exceedance results'!A66</f>
        <v>1E-3</v>
      </c>
      <c r="B71" s="3">
        <f>('Exceedance results'!B66-'Exceedance results'!B67)*(MIN(1,MAX(0,B$3*EXP(B$4/$A71))))</f>
        <v>0</v>
      </c>
      <c r="C71" s="3">
        <f>('Exceedance results'!C66-'Exceedance results'!C67)*(MIN(1,MAX(0,C$3*EXP(C$4/$A71))))</f>
        <v>0</v>
      </c>
      <c r="D71" s="3">
        <f>('Exceedance results'!D66-'Exceedance results'!D67)*(MIN(1,MAX(0,D$3*EXP(D$4/$A71))))</f>
        <v>0</v>
      </c>
      <c r="E71" s="3">
        <f>('Exceedance results'!E66-'Exceedance results'!E67)*(MIN(1,MAX(0,E$3*EXP(E$4/$A71))))</f>
        <v>0</v>
      </c>
      <c r="F71" s="3">
        <f>('Exceedance results'!F66-'Exceedance results'!F67)*(MIN(1,MAX(0,F$3*EXP(F$4/$A71))))</f>
        <v>0</v>
      </c>
      <c r="G71" s="3">
        <f>('Exceedance results'!G66-'Exceedance results'!G67)*(MIN(1,MAX(0,G$3*EXP(G$4/$A71))))</f>
        <v>0</v>
      </c>
      <c r="H71" s="3">
        <f>('Exceedance results'!H66-'Exceedance results'!H67)*(MIN(1,MAX(0,H$3*EXP(H$4/$A71))))</f>
        <v>0</v>
      </c>
      <c r="I71" s="3">
        <f>('Exceedance results'!I66-'Exceedance results'!I67)*(MIN(1,MAX(0,I$3*EXP(I$4/$A71))))</f>
        <v>0</v>
      </c>
      <c r="J71" s="3">
        <f>('Exceedance results'!J66-'Exceedance results'!J67)*(MIN(1,MAX(0,J$3*EXP(J$4/$A71))))</f>
        <v>0</v>
      </c>
      <c r="K71" s="3">
        <f>('Exceedance results'!K66-'Exceedance results'!K67)*(MIN(1,MAX(0,K$3*EXP(K$4/$A71))))</f>
        <v>0</v>
      </c>
      <c r="L71" s="3">
        <f>('Exceedance results'!L66-'Exceedance results'!L67)*(MIN(1,MAX(0,L$3*EXP(L$4/$A71))))</f>
        <v>0</v>
      </c>
    </row>
    <row r="72" spans="1:12" x14ac:dyDescent="0.2">
      <c r="A72" s="4">
        <f>'Exceedance results'!A67</f>
        <v>1E-3</v>
      </c>
      <c r="B72" s="3">
        <f>('Exceedance results'!B67-'Exceedance results'!B68)*(MIN(1,MAX(0,B$3*EXP(B$4/$A72))))</f>
        <v>0</v>
      </c>
      <c r="C72" s="3">
        <f>('Exceedance results'!C67-'Exceedance results'!C68)*(MIN(1,MAX(0,C$3*EXP(C$4/$A72))))</f>
        <v>0</v>
      </c>
      <c r="D72" s="3">
        <f>('Exceedance results'!D67-'Exceedance results'!D68)*(MIN(1,MAX(0,D$3*EXP(D$4/$A72))))</f>
        <v>0</v>
      </c>
      <c r="E72" s="3">
        <f>('Exceedance results'!E67-'Exceedance results'!E68)*(MIN(1,MAX(0,E$3*EXP(E$4/$A72))))</f>
        <v>0</v>
      </c>
      <c r="F72" s="3">
        <f>('Exceedance results'!F67-'Exceedance results'!F68)*(MIN(1,MAX(0,F$3*EXP(F$4/$A72))))</f>
        <v>0</v>
      </c>
      <c r="G72" s="3">
        <f>('Exceedance results'!G67-'Exceedance results'!G68)*(MIN(1,MAX(0,G$3*EXP(G$4/$A72))))</f>
        <v>0</v>
      </c>
      <c r="H72" s="3">
        <f>('Exceedance results'!H67-'Exceedance results'!H68)*(MIN(1,MAX(0,H$3*EXP(H$4/$A72))))</f>
        <v>0</v>
      </c>
      <c r="I72" s="3">
        <f>('Exceedance results'!I67-'Exceedance results'!I68)*(MIN(1,MAX(0,I$3*EXP(I$4/$A72))))</f>
        <v>0</v>
      </c>
      <c r="J72" s="3">
        <f>('Exceedance results'!J67-'Exceedance results'!J68)*(MIN(1,MAX(0,J$3*EXP(J$4/$A72))))</f>
        <v>0</v>
      </c>
      <c r="K72" s="3">
        <f>('Exceedance results'!K67-'Exceedance results'!K68)*(MIN(1,MAX(0,K$3*EXP(K$4/$A72))))</f>
        <v>0</v>
      </c>
      <c r="L72" s="3">
        <f>('Exceedance results'!L67-'Exceedance results'!L68)*(MIN(1,MAX(0,L$3*EXP(L$4/$A72))))</f>
        <v>0</v>
      </c>
    </row>
    <row r="73" spans="1:12" x14ac:dyDescent="0.2">
      <c r="A73" s="4">
        <f>'Exceedance results'!A68</f>
        <v>1E-3</v>
      </c>
      <c r="B73" s="3">
        <f>('Exceedance results'!B68-'Exceedance results'!B69)*(MIN(1,MAX(0,B$3*EXP(B$4/$A73))))</f>
        <v>0</v>
      </c>
      <c r="C73" s="3">
        <f>('Exceedance results'!C68-'Exceedance results'!C69)*(MIN(1,MAX(0,C$3*EXP(C$4/$A73))))</f>
        <v>0</v>
      </c>
      <c r="D73" s="3">
        <f>('Exceedance results'!D68-'Exceedance results'!D69)*(MIN(1,MAX(0,D$3*EXP(D$4/$A73))))</f>
        <v>0</v>
      </c>
      <c r="E73" s="3">
        <f>('Exceedance results'!E68-'Exceedance results'!E69)*(MIN(1,MAX(0,E$3*EXP(E$4/$A73))))</f>
        <v>0</v>
      </c>
      <c r="F73" s="3">
        <f>('Exceedance results'!F68-'Exceedance results'!F69)*(MIN(1,MAX(0,F$3*EXP(F$4/$A73))))</f>
        <v>0</v>
      </c>
      <c r="G73" s="3">
        <f>('Exceedance results'!G68-'Exceedance results'!G69)*(MIN(1,MAX(0,G$3*EXP(G$4/$A73))))</f>
        <v>0</v>
      </c>
      <c r="H73" s="3">
        <f>('Exceedance results'!H68-'Exceedance results'!H69)*(MIN(1,MAX(0,H$3*EXP(H$4/$A73))))</f>
        <v>0</v>
      </c>
      <c r="I73" s="3">
        <f>('Exceedance results'!I68-'Exceedance results'!I69)*(MIN(1,MAX(0,I$3*EXP(I$4/$A73))))</f>
        <v>0</v>
      </c>
      <c r="J73" s="3">
        <f>('Exceedance results'!J68-'Exceedance results'!J69)*(MIN(1,MAX(0,J$3*EXP(J$4/$A73))))</f>
        <v>0</v>
      </c>
      <c r="K73" s="3">
        <f>('Exceedance results'!K68-'Exceedance results'!K69)*(MIN(1,MAX(0,K$3*EXP(K$4/$A73))))</f>
        <v>0</v>
      </c>
      <c r="L73" s="3">
        <f>('Exceedance results'!L68-'Exceedance results'!L69)*(MIN(1,MAX(0,L$3*EXP(L$4/$A73))))</f>
        <v>0</v>
      </c>
    </row>
    <row r="74" spans="1:12" x14ac:dyDescent="0.2">
      <c r="A74" s="4">
        <f>'Exceedance results'!A69</f>
        <v>1E-3</v>
      </c>
      <c r="B74" s="3">
        <f>('Exceedance results'!B69-'Exceedance results'!B70)*(MIN(1,MAX(0,B$3*EXP(B$4/$A74))))</f>
        <v>0</v>
      </c>
      <c r="C74" s="3">
        <f>('Exceedance results'!C69-'Exceedance results'!C70)*(MIN(1,MAX(0,C$3*EXP(C$4/$A74))))</f>
        <v>0</v>
      </c>
      <c r="D74" s="3">
        <f>('Exceedance results'!D69-'Exceedance results'!D70)*(MIN(1,MAX(0,D$3*EXP(D$4/$A74))))</f>
        <v>0</v>
      </c>
      <c r="E74" s="3">
        <f>('Exceedance results'!E69-'Exceedance results'!E70)*(MIN(1,MAX(0,E$3*EXP(E$4/$A74))))</f>
        <v>0</v>
      </c>
      <c r="F74" s="3">
        <f>('Exceedance results'!F69-'Exceedance results'!F70)*(MIN(1,MAX(0,F$3*EXP(F$4/$A74))))</f>
        <v>0</v>
      </c>
      <c r="G74" s="3">
        <f>('Exceedance results'!G69-'Exceedance results'!G70)*(MIN(1,MAX(0,G$3*EXP(G$4/$A74))))</f>
        <v>0</v>
      </c>
      <c r="H74" s="3">
        <f>('Exceedance results'!H69-'Exceedance results'!H70)*(MIN(1,MAX(0,H$3*EXP(H$4/$A74))))</f>
        <v>0</v>
      </c>
      <c r="I74" s="3">
        <f>('Exceedance results'!I69-'Exceedance results'!I70)*(MIN(1,MAX(0,I$3*EXP(I$4/$A74))))</f>
        <v>0</v>
      </c>
      <c r="J74" s="3">
        <f>('Exceedance results'!J69-'Exceedance results'!J70)*(MIN(1,MAX(0,J$3*EXP(J$4/$A74))))</f>
        <v>0</v>
      </c>
      <c r="K74" s="3">
        <f>('Exceedance results'!K69-'Exceedance results'!K70)*(MIN(1,MAX(0,K$3*EXP(K$4/$A74))))</f>
        <v>0</v>
      </c>
      <c r="L74" s="3">
        <f>('Exceedance results'!L69-'Exceedance results'!L70)*(MIN(1,MAX(0,L$3*EXP(L$4/$A74))))</f>
        <v>0</v>
      </c>
    </row>
    <row r="75" spans="1:12" x14ac:dyDescent="0.2">
      <c r="A75" s="4">
        <f>'Exceedance results'!A70</f>
        <v>1E-3</v>
      </c>
      <c r="B75" s="3">
        <f>('Exceedance results'!B70-'Exceedance results'!B71)*(MIN(1,MAX(0,B$3*EXP(B$4/$A75))))</f>
        <v>0</v>
      </c>
      <c r="C75" s="3">
        <f>('Exceedance results'!C70-'Exceedance results'!C71)*(MIN(1,MAX(0,C$3*EXP(C$4/$A75))))</f>
        <v>0</v>
      </c>
      <c r="D75" s="3">
        <f>('Exceedance results'!D70-'Exceedance results'!D71)*(MIN(1,MAX(0,D$3*EXP(D$4/$A75))))</f>
        <v>0</v>
      </c>
      <c r="E75" s="3">
        <f>('Exceedance results'!E70-'Exceedance results'!E71)*(MIN(1,MAX(0,E$3*EXP(E$4/$A75))))</f>
        <v>0</v>
      </c>
      <c r="F75" s="3">
        <f>('Exceedance results'!F70-'Exceedance results'!F71)*(MIN(1,MAX(0,F$3*EXP(F$4/$A75))))</f>
        <v>0</v>
      </c>
      <c r="G75" s="3">
        <f>('Exceedance results'!G70-'Exceedance results'!G71)*(MIN(1,MAX(0,G$3*EXP(G$4/$A75))))</f>
        <v>0</v>
      </c>
      <c r="H75" s="3">
        <f>('Exceedance results'!H70-'Exceedance results'!H71)*(MIN(1,MAX(0,H$3*EXP(H$4/$A75))))</f>
        <v>0</v>
      </c>
      <c r="I75" s="3">
        <f>('Exceedance results'!I70-'Exceedance results'!I71)*(MIN(1,MAX(0,I$3*EXP(I$4/$A75))))</f>
        <v>0</v>
      </c>
      <c r="J75" s="3">
        <f>('Exceedance results'!J70-'Exceedance results'!J71)*(MIN(1,MAX(0,J$3*EXP(J$4/$A75))))</f>
        <v>0</v>
      </c>
      <c r="K75" s="3">
        <f>('Exceedance results'!K70-'Exceedance results'!K71)*(MIN(1,MAX(0,K$3*EXP(K$4/$A75))))</f>
        <v>0</v>
      </c>
      <c r="L75" s="3">
        <f>('Exceedance results'!L70-'Exceedance results'!L71)*(MIN(1,MAX(0,L$3*EXP(L$4/$A75))))</f>
        <v>0</v>
      </c>
    </row>
    <row r="76" spans="1:12" x14ac:dyDescent="0.2">
      <c r="A76" s="4">
        <f>'Exceedance results'!A71</f>
        <v>1E-3</v>
      </c>
      <c r="B76" s="3">
        <f>('Exceedance results'!B71-'Exceedance results'!B72)*(MIN(1,MAX(0,B$3*EXP(B$4/$A76))))</f>
        <v>0</v>
      </c>
      <c r="C76" s="3">
        <f>('Exceedance results'!C71-'Exceedance results'!C72)*(MIN(1,MAX(0,C$3*EXP(C$4/$A76))))</f>
        <v>0</v>
      </c>
      <c r="D76" s="3">
        <f>('Exceedance results'!D71-'Exceedance results'!D72)*(MIN(1,MAX(0,D$3*EXP(D$4/$A76))))</f>
        <v>0</v>
      </c>
      <c r="E76" s="3">
        <f>('Exceedance results'!E71-'Exceedance results'!E72)*(MIN(1,MAX(0,E$3*EXP(E$4/$A76))))</f>
        <v>0</v>
      </c>
      <c r="F76" s="3">
        <f>('Exceedance results'!F71-'Exceedance results'!F72)*(MIN(1,MAX(0,F$3*EXP(F$4/$A76))))</f>
        <v>0</v>
      </c>
      <c r="G76" s="3">
        <f>('Exceedance results'!G71-'Exceedance results'!G72)*(MIN(1,MAX(0,G$3*EXP(G$4/$A76))))</f>
        <v>0</v>
      </c>
      <c r="H76" s="3">
        <f>('Exceedance results'!H71-'Exceedance results'!H72)*(MIN(1,MAX(0,H$3*EXP(H$4/$A76))))</f>
        <v>0</v>
      </c>
      <c r="I76" s="3">
        <f>('Exceedance results'!I71-'Exceedance results'!I72)*(MIN(1,MAX(0,I$3*EXP(I$4/$A76))))</f>
        <v>0</v>
      </c>
      <c r="J76" s="3">
        <f>('Exceedance results'!J71-'Exceedance results'!J72)*(MIN(1,MAX(0,J$3*EXP(J$4/$A76))))</f>
        <v>0</v>
      </c>
      <c r="K76" s="3">
        <f>('Exceedance results'!K71-'Exceedance results'!K72)*(MIN(1,MAX(0,K$3*EXP(K$4/$A76))))</f>
        <v>0</v>
      </c>
      <c r="L76" s="3">
        <f>('Exceedance results'!L71-'Exceedance results'!L72)*(MIN(1,MAX(0,L$3*EXP(L$4/$A76))))</f>
        <v>0</v>
      </c>
    </row>
    <row r="77" spans="1:12" x14ac:dyDescent="0.2">
      <c r="A77" s="3">
        <f>'Exceedance results'!A72</f>
        <v>1E-3</v>
      </c>
      <c r="B77" s="3">
        <f>('Exceedance results'!B72-'Exceedance results'!B73)*(MIN(1,MAX(0,B$3*EXP(B$4/$A77))))</f>
        <v>0</v>
      </c>
      <c r="C77" s="3">
        <f>('Exceedance results'!C72-'Exceedance results'!C73)*(MIN(1,MAX(0,C$3*EXP(C$4/$A77))))</f>
        <v>0</v>
      </c>
      <c r="D77" s="3">
        <f>('Exceedance results'!D72-'Exceedance results'!D73)*(MIN(1,MAX(0,D$3*EXP(D$4/$A77))))</f>
        <v>0</v>
      </c>
      <c r="E77" s="3">
        <f>('Exceedance results'!E72-'Exceedance results'!E73)*(MIN(1,MAX(0,E$3*EXP(E$4/$A77))))</f>
        <v>0</v>
      </c>
      <c r="F77" s="3">
        <f>('Exceedance results'!F72-'Exceedance results'!F73)*(MIN(1,MAX(0,F$3*EXP(F$4/$A77))))</f>
        <v>0</v>
      </c>
      <c r="G77" s="3">
        <f>('Exceedance results'!G72-'Exceedance results'!G73)*(MIN(1,MAX(0,G$3*EXP(G$4/$A77))))</f>
        <v>0</v>
      </c>
      <c r="H77" s="3">
        <f>('Exceedance results'!H72-'Exceedance results'!H73)*(MIN(1,MAX(0,H$3*EXP(H$4/$A77))))</f>
        <v>0</v>
      </c>
      <c r="I77" s="3">
        <f>('Exceedance results'!I72-'Exceedance results'!I73)*(MIN(1,MAX(0,I$3*EXP(I$4/$A77))))</f>
        <v>0</v>
      </c>
      <c r="J77" s="3">
        <f>('Exceedance results'!J72-'Exceedance results'!J73)*(MIN(1,MAX(0,J$3*EXP(J$4/$A77))))</f>
        <v>0</v>
      </c>
      <c r="K77" s="3">
        <f>('Exceedance results'!K72-'Exceedance results'!K73)*(MIN(1,MAX(0,K$3*EXP(K$4/$A77))))</f>
        <v>0</v>
      </c>
      <c r="L77" s="3">
        <f>('Exceedance results'!L72-'Exceedance results'!L73)*(MIN(1,MAX(0,L$3*EXP(L$4/$A77))))</f>
        <v>0</v>
      </c>
    </row>
    <row r="89" spans="1:12" s="89" customFormat="1" ht="107.25" x14ac:dyDescent="0.2">
      <c r="B89" s="89">
        <f t="shared" ref="B89:L89" si="3">B1</f>
        <v>0</v>
      </c>
      <c r="C89" s="89">
        <f t="shared" si="3"/>
        <v>0</v>
      </c>
      <c r="D89" s="89">
        <f t="shared" si="3"/>
        <v>0</v>
      </c>
      <c r="E89" s="89">
        <f t="shared" si="3"/>
        <v>0</v>
      </c>
      <c r="F89" s="89">
        <f t="shared" si="3"/>
        <v>0</v>
      </c>
      <c r="G89" s="89">
        <f t="shared" si="3"/>
        <v>0</v>
      </c>
      <c r="H89" s="89">
        <f t="shared" si="3"/>
        <v>0</v>
      </c>
      <c r="I89" s="89">
        <f t="shared" si="3"/>
        <v>0</v>
      </c>
      <c r="J89" s="89">
        <f t="shared" si="3"/>
        <v>0</v>
      </c>
      <c r="K89" s="89">
        <f t="shared" si="3"/>
        <v>0</v>
      </c>
      <c r="L89" s="89">
        <f t="shared" si="3"/>
        <v>0</v>
      </c>
    </row>
    <row r="90" spans="1:12" s="20" customFormat="1" x14ac:dyDescent="0.2">
      <c r="A90" s="95" t="s">
        <v>27</v>
      </c>
      <c r="B90" s="20">
        <v>1.1221530549360041E-5</v>
      </c>
      <c r="C90" s="20">
        <v>6.484549409388082E-6</v>
      </c>
      <c r="D90" s="20">
        <v>1.6957041902955864E-5</v>
      </c>
      <c r="E90" s="20">
        <v>4.355003837342663E-6</v>
      </c>
      <c r="F90" s="20">
        <v>3.5140742975402264E-6</v>
      </c>
      <c r="G90" s="20">
        <v>4.623458534770808E-6</v>
      </c>
      <c r="H90" s="20">
        <v>2.083806352498368E-6</v>
      </c>
      <c r="I90" s="20">
        <v>1.6381807627522058E-6</v>
      </c>
      <c r="J90" s="20">
        <v>1.3456647520070589E-6</v>
      </c>
      <c r="K90" s="20">
        <v>1.1142580382199902E-6</v>
      </c>
      <c r="L90" s="20">
        <v>0</v>
      </c>
    </row>
    <row r="91" spans="1:12" s="20" customFormat="1" x14ac:dyDescent="0.2">
      <c r="A91" s="95" t="s">
        <v>28</v>
      </c>
      <c r="B91" s="20">
        <v>1.1373404710570232E-5</v>
      </c>
      <c r="C91" s="20">
        <v>6.5258492090151072E-6</v>
      </c>
      <c r="D91" s="20">
        <v>1.7589829941442899E-5</v>
      </c>
      <c r="E91" s="20">
        <v>4.3763415650725109E-6</v>
      </c>
      <c r="F91" s="20">
        <v>3.529085579165122E-6</v>
      </c>
      <c r="G91" s="20">
        <v>4.6559281708665004E-6</v>
      </c>
      <c r="H91" s="20">
        <v>2.0903308550659893E-6</v>
      </c>
      <c r="I91" s="20">
        <v>1.6422228274627926E-6</v>
      </c>
      <c r="J91" s="20">
        <v>1.3488734355286496E-6</v>
      </c>
      <c r="K91" s="20">
        <v>1.1165606992161197E-6</v>
      </c>
      <c r="L91" s="20">
        <v>0</v>
      </c>
    </row>
    <row r="92" spans="1:12" s="20" customFormat="1" x14ac:dyDescent="0.2">
      <c r="A92" s="95" t="s">
        <v>29</v>
      </c>
      <c r="B92" s="20">
        <v>1.1760223043622232E-5</v>
      </c>
      <c r="C92" s="20">
        <v>6.6724560945178034E-6</v>
      </c>
      <c r="D92" s="20">
        <v>1.8907234301663307E-5</v>
      </c>
      <c r="E92" s="20">
        <v>4.4646167461772611E-6</v>
      </c>
      <c r="F92" s="20">
        <v>3.5968055831472466E-6</v>
      </c>
      <c r="G92" s="20">
        <v>4.7688464767081395E-6</v>
      </c>
      <c r="H92" s="20">
        <v>2.1259038162494475E-6</v>
      </c>
      <c r="I92" s="20">
        <v>1.6677227899672986E-6</v>
      </c>
      <c r="J92" s="20">
        <v>1.3685851685410039E-6</v>
      </c>
      <c r="K92" s="20">
        <v>1.1344285571242797E-6</v>
      </c>
      <c r="L92" s="20">
        <v>0</v>
      </c>
    </row>
    <row r="93" spans="1:12" s="20" customFormat="1" x14ac:dyDescent="0.2">
      <c r="A93" s="99" t="s">
        <v>26</v>
      </c>
      <c r="B93" s="20">
        <v>2.279631512942753E-5</v>
      </c>
      <c r="C93" s="20">
        <v>1.3477297264672631E-5</v>
      </c>
      <c r="D93" s="20">
        <v>3.5101744959194594E-5</v>
      </c>
      <c r="E93" s="20">
        <v>9.2626201350711041E-6</v>
      </c>
      <c r="F93" s="20">
        <v>7.5170077073730777E-6</v>
      </c>
      <c r="G93" s="20">
        <v>9.6013997292415639E-6</v>
      </c>
      <c r="H93" s="20">
        <v>4.5005053214160351E-6</v>
      </c>
      <c r="I93" s="20">
        <v>3.6506543074144604E-6</v>
      </c>
      <c r="J93" s="20">
        <v>2.9712850173960328E-6</v>
      </c>
      <c r="K93" s="20">
        <v>2.5084776351290206E-6</v>
      </c>
      <c r="L93" s="20">
        <v>0</v>
      </c>
    </row>
    <row r="94" spans="1:12" s="20" customFormat="1" x14ac:dyDescent="0.2">
      <c r="A94" s="95" t="s">
        <v>30</v>
      </c>
      <c r="B94" s="20">
        <v>2.6022218676469499E-5</v>
      </c>
      <c r="C94" s="20">
        <v>1.5148299782586302E-5</v>
      </c>
      <c r="D94" s="20">
        <v>4.1577521850084465E-5</v>
      </c>
      <c r="E94" s="20">
        <v>1.0471555322234291E-5</v>
      </c>
      <c r="F94" s="20">
        <v>8.4720397799121824E-6</v>
      </c>
      <c r="G94" s="20">
        <v>1.0953626869705719E-5</v>
      </c>
      <c r="H94" s="20">
        <v>5.1031345107478627E-6</v>
      </c>
      <c r="I94" s="20">
        <v>4.1289982818818593E-6</v>
      </c>
      <c r="J94" s="20">
        <v>3.3781699753867588E-6</v>
      </c>
      <c r="K94" s="20">
        <v>2.8546133405980403E-6</v>
      </c>
      <c r="L94" s="20">
        <v>0</v>
      </c>
    </row>
    <row r="95" spans="1:12" s="20" customFormat="1" x14ac:dyDescent="0.2">
      <c r="A95" s="95" t="s">
        <v>31</v>
      </c>
      <c r="B95" s="20">
        <v>3.4529575903215844E-5</v>
      </c>
      <c r="C95" s="20">
        <v>1.9528737882535323E-5</v>
      </c>
      <c r="D95" s="20">
        <v>5.5691289850647111E-5</v>
      </c>
      <c r="E95" s="20">
        <v>1.3165514660723811E-5</v>
      </c>
      <c r="F95" s="20">
        <v>1.0510153410618889E-5</v>
      </c>
      <c r="G95" s="20">
        <v>1.3861846744776715E-5</v>
      </c>
      <c r="H95" s="20">
        <v>6.2019360962351587E-6</v>
      </c>
      <c r="I95" s="20">
        <v>4.956273229383454E-6</v>
      </c>
      <c r="J95" s="20">
        <v>4.0062907651314336E-6</v>
      </c>
      <c r="K95" s="20">
        <v>3.3987693626388606E-6</v>
      </c>
      <c r="L95" s="20">
        <v>0</v>
      </c>
    </row>
    <row r="96" spans="1:12" s="20" customFormat="1" x14ac:dyDescent="0.2">
      <c r="A96" s="95" t="s">
        <v>32</v>
      </c>
      <c r="B96" s="20">
        <v>3.4569183835611726E-5</v>
      </c>
      <c r="C96" s="20">
        <v>1.953675902229673E-5</v>
      </c>
      <c r="D96" s="20">
        <v>5.591870098817462E-5</v>
      </c>
      <c r="E96" s="20">
        <v>1.3168574573098032E-5</v>
      </c>
      <c r="F96" s="20">
        <v>1.051179803559952E-5</v>
      </c>
      <c r="G96" s="20">
        <v>1.3864799118158555E-5</v>
      </c>
      <c r="H96" s="20">
        <v>6.2023948953696637E-6</v>
      </c>
      <c r="I96" s="20">
        <v>4.9565078223233147E-6</v>
      </c>
      <c r="J96" s="20">
        <v>4.0063487596794412E-6</v>
      </c>
      <c r="K96" s="20">
        <v>3.3988418397028889E-6</v>
      </c>
      <c r="L96" s="20">
        <v>0</v>
      </c>
    </row>
    <row r="97" spans="1:12" s="20" customFormat="1" x14ac:dyDescent="0.2">
      <c r="A97" s="95" t="s">
        <v>33</v>
      </c>
      <c r="B97" s="20">
        <v>3.5340746202400608E-5</v>
      </c>
      <c r="C97" s="20">
        <v>1.9849977464297622E-5</v>
      </c>
      <c r="D97" s="20">
        <v>5.8093344450267728E-5</v>
      </c>
      <c r="E97" s="20">
        <v>1.3356678147474713E-5</v>
      </c>
      <c r="F97" s="20">
        <v>1.0673078834966078E-5</v>
      </c>
      <c r="G97" s="20">
        <v>1.4127874604391081E-5</v>
      </c>
      <c r="H97" s="20">
        <v>6.292587310051993E-6</v>
      </c>
      <c r="I97" s="20">
        <v>5.0291105072480552E-6</v>
      </c>
      <c r="J97" s="20">
        <v>4.0614457935185402E-6</v>
      </c>
      <c r="K97" s="20">
        <v>3.4489021483877906E-6</v>
      </c>
      <c r="L97" s="20">
        <v>0</v>
      </c>
    </row>
    <row r="98" spans="1:12" s="20" customFormat="1" x14ac:dyDescent="0.2">
      <c r="A98" s="95" t="s">
        <v>34</v>
      </c>
      <c r="B98" s="20">
        <v>3.686365327517937E-5</v>
      </c>
      <c r="C98" s="20">
        <v>2.049519311585259E-5</v>
      </c>
      <c r="D98" s="20">
        <v>6.1606349849997448E-5</v>
      </c>
      <c r="E98" s="20">
        <v>1.3763402733532568E-5</v>
      </c>
      <c r="F98" s="20">
        <v>1.0991028976381807E-5</v>
      </c>
      <c r="G98" s="20">
        <v>1.4611131483351739E-5</v>
      </c>
      <c r="H98" s="20">
        <v>6.4600492615495523E-6</v>
      </c>
      <c r="I98" s="20">
        <v>5.16042747667446E-6</v>
      </c>
      <c r="J98" s="20">
        <v>4.1603865441167138E-6</v>
      </c>
      <c r="K98" s="20">
        <v>3.5353160521213536E-6</v>
      </c>
      <c r="L98" s="20">
        <v>0</v>
      </c>
    </row>
    <row r="99" spans="1:12" x14ac:dyDescent="0.2">
      <c r="A99" s="95" t="s">
        <v>35</v>
      </c>
      <c r="B99" s="3">
        <v>4.1730816014217781E-5</v>
      </c>
      <c r="C99" s="3">
        <v>2.3084202217952135E-5</v>
      </c>
      <c r="D99" s="3">
        <v>7.0308365198002473E-5</v>
      </c>
      <c r="E99" s="3">
        <v>1.5494169334364152E-5</v>
      </c>
      <c r="F99" s="3">
        <v>1.2323959962577881E-5</v>
      </c>
      <c r="G99" s="3">
        <v>1.6450025119431447E-5</v>
      </c>
      <c r="H99" s="3">
        <v>7.2513806251135296E-6</v>
      </c>
      <c r="I99" s="3">
        <v>5.7929465877510571E-6</v>
      </c>
      <c r="J99" s="3">
        <v>4.6439475138120306E-6</v>
      </c>
      <c r="K99" s="3">
        <v>3.9542256228807789E-6</v>
      </c>
      <c r="L99" s="3">
        <v>0</v>
      </c>
    </row>
    <row r="100" spans="1:12" x14ac:dyDescent="0.2">
      <c r="A100" s="95" t="s">
        <v>61</v>
      </c>
      <c r="B100" s="3">
        <v>5.1953420905093781E-5</v>
      </c>
      <c r="C100" s="3">
        <v>2.9433898622896673E-5</v>
      </c>
      <c r="D100" s="3">
        <v>8.5995307062066887E-5</v>
      </c>
      <c r="E100" s="3">
        <v>1.9895418519594267E-5</v>
      </c>
      <c r="F100" s="1">
        <v>1.5801179010020203E-5</v>
      </c>
      <c r="G100" s="3">
        <v>2.0893519023608483E-5</v>
      </c>
      <c r="H100" s="3">
        <v>9.3905595104545655E-6</v>
      </c>
      <c r="I100" s="3">
        <v>7.5887537269711895E-6</v>
      </c>
      <c r="J100" s="3">
        <v>6.0744308085849946E-6</v>
      </c>
      <c r="K100" s="3">
        <v>5.1184834547578579E-6</v>
      </c>
      <c r="L100" s="3">
        <v>0</v>
      </c>
    </row>
    <row r="101" spans="1:12" x14ac:dyDescent="0.2">
      <c r="A101" s="95" t="s">
        <v>62</v>
      </c>
      <c r="B101" s="3">
        <v>5.4268844125178213E-5</v>
      </c>
      <c r="C101" s="3">
        <v>3.0617147804972548E-5</v>
      </c>
      <c r="D101" s="3">
        <v>9.1025123237105447E-5</v>
      </c>
      <c r="E101" s="3">
        <v>2.0677604015623171E-5</v>
      </c>
      <c r="F101" s="1">
        <v>1.647432588937992E-5</v>
      </c>
      <c r="G101" s="3">
        <v>2.1872047610634348E-5</v>
      </c>
      <c r="H101" s="3">
        <v>9.802651992322333E-6</v>
      </c>
      <c r="I101" s="3">
        <v>7.9209312457326949E-6</v>
      </c>
      <c r="J101" s="3">
        <v>6.3571641599133344E-6</v>
      </c>
      <c r="K101" s="3">
        <v>5.3577166420906787E-6</v>
      </c>
      <c r="L101" s="3">
        <v>0</v>
      </c>
    </row>
    <row r="102" spans="1:12" x14ac:dyDescent="0.2">
      <c r="A102" s="95" t="s">
        <v>63</v>
      </c>
      <c r="B102" s="3">
        <v>5.4998331588881316E-5</v>
      </c>
      <c r="C102" s="3">
        <v>3.0916759691941123E-5</v>
      </c>
      <c r="D102" s="3">
        <v>9.3272071077962415E-5</v>
      </c>
      <c r="E102" s="3">
        <v>2.086358769377874E-5</v>
      </c>
      <c r="F102" s="1">
        <v>1.6617028802473211E-5</v>
      </c>
      <c r="G102" s="3">
        <v>2.2120980139745094E-5</v>
      </c>
      <c r="H102" s="3">
        <v>9.8892224066730391E-6</v>
      </c>
      <c r="I102" s="3">
        <v>7.9922486418243207E-6</v>
      </c>
      <c r="J102" s="3">
        <v>6.415527255256325E-6</v>
      </c>
      <c r="K102" s="3">
        <v>5.4077037194928135E-6</v>
      </c>
      <c r="L102" s="3">
        <v>0</v>
      </c>
    </row>
    <row r="103" spans="1:12" x14ac:dyDescent="0.2">
      <c r="A103" s="95" t="s">
        <v>64</v>
      </c>
      <c r="B103" s="3">
        <v>5.5727819052584419E-5</v>
      </c>
      <c r="C103" s="3">
        <v>3.1216371578909684E-5</v>
      </c>
      <c r="D103" s="3">
        <v>9.5519018918819397E-5</v>
      </c>
      <c r="E103" s="3">
        <v>2.1049571371934305E-5</v>
      </c>
      <c r="F103" s="1">
        <v>1.6759731715566501E-5</v>
      </c>
      <c r="G103" s="3">
        <v>2.236991266885584E-5</v>
      </c>
      <c r="H103" s="3">
        <v>9.9757928210237453E-6</v>
      </c>
      <c r="I103" s="3">
        <v>8.0635660379159464E-6</v>
      </c>
      <c r="J103" s="3">
        <v>6.4738903505993147E-6</v>
      </c>
      <c r="K103" s="3">
        <v>5.4576907968949483E-6</v>
      </c>
      <c r="L103" s="3">
        <v>0</v>
      </c>
    </row>
    <row r="104" spans="1:12" x14ac:dyDescent="0.2">
      <c r="A104" s="95" t="s">
        <v>65</v>
      </c>
      <c r="B104" s="3">
        <v>6.1721423563679086E-5</v>
      </c>
      <c r="C104" s="3">
        <v>3.4770172859414981E-5</v>
      </c>
      <c r="D104" s="3">
        <v>1.0577571390674452E-4</v>
      </c>
      <c r="E104" s="3">
        <v>2.3473026178402948E-5</v>
      </c>
      <c r="F104" s="1">
        <v>1.874320724852752E-5</v>
      </c>
      <c r="G104" s="3">
        <v>2.4995834693269611E-5</v>
      </c>
      <c r="H104" s="3">
        <v>1.1215611422301284E-5</v>
      </c>
      <c r="I104" s="3">
        <v>9.0896902772025804E-6</v>
      </c>
      <c r="J104" s="3">
        <v>7.2896821147445292E-6</v>
      </c>
      <c r="K104" s="3">
        <v>6.2033768023201819E-6</v>
      </c>
      <c r="L104" s="3">
        <v>0</v>
      </c>
    </row>
    <row r="105" spans="1:12" x14ac:dyDescent="0.2">
      <c r="A105" s="95" t="s">
        <v>66</v>
      </c>
      <c r="B105" s="3">
        <v>7.1944026007820356E-5</v>
      </c>
      <c r="C105" s="3">
        <v>4.1119867490861931E-5</v>
      </c>
      <c r="D105" s="3">
        <v>1.2146265298665318E-4</v>
      </c>
      <c r="E105" s="3">
        <v>2.7874274058728393E-5</v>
      </c>
      <c r="F105" s="1">
        <v>2.2220425217698079E-5</v>
      </c>
      <c r="G105" s="3">
        <v>2.9439327361986803E-5</v>
      </c>
      <c r="H105" s="3">
        <v>1.3354789587134295E-5</v>
      </c>
      <c r="I105" s="3">
        <v>1.0885496802789125E-5</v>
      </c>
      <c r="J105" s="3">
        <v>8.7201649016956677E-6</v>
      </c>
      <c r="K105" s="3">
        <v>7.3676342070473115E-6</v>
      </c>
      <c r="L105" s="3">
        <v>0</v>
      </c>
    </row>
    <row r="106" spans="1:12" x14ac:dyDescent="0.2">
      <c r="A106" s="95" t="s">
        <v>75</v>
      </c>
      <c r="B106" s="3">
        <v>7.4259449227936217E-5</v>
      </c>
      <c r="C106" s="3">
        <v>4.2303116672956891E-5</v>
      </c>
      <c r="D106" s="3">
        <v>1.2649246916174374E-4</v>
      </c>
      <c r="E106" s="3">
        <v>2.8656459554770765E-5</v>
      </c>
      <c r="F106" s="1">
        <v>2.2893572097069516E-5</v>
      </c>
      <c r="G106" s="3">
        <v>3.041785594902811E-5</v>
      </c>
      <c r="H106" s="3">
        <v>1.3766882069009508E-5</v>
      </c>
      <c r="I106" s="3">
        <v>1.1217674321556702E-5</v>
      </c>
      <c r="J106" s="3">
        <v>9.0028982530292728E-6</v>
      </c>
      <c r="K106" s="3">
        <v>7.6068673943845962E-6</v>
      </c>
      <c r="L106" s="3">
        <v>0</v>
      </c>
    </row>
    <row r="107" spans="1:12" x14ac:dyDescent="0.2">
      <c r="A107" s="95" t="s">
        <v>67</v>
      </c>
      <c r="B107" s="3">
        <v>7.4988936691639313E-5</v>
      </c>
      <c r="C107" s="3">
        <v>4.2602728559925452E-5</v>
      </c>
      <c r="D107" s="3">
        <v>1.2873941700260069E-4</v>
      </c>
      <c r="E107" s="3">
        <v>2.8842443232926337E-5</v>
      </c>
      <c r="F107" s="1">
        <v>2.3036275010162806E-5</v>
      </c>
      <c r="G107" s="3">
        <v>3.0666788478138853E-5</v>
      </c>
      <c r="H107" s="3">
        <v>1.3853452483360213E-5</v>
      </c>
      <c r="I107" s="3">
        <v>1.1288991717648328E-5</v>
      </c>
      <c r="J107" s="3">
        <v>9.0612613483722633E-6</v>
      </c>
      <c r="K107" s="3">
        <v>7.6568544717867319E-6</v>
      </c>
      <c r="L107" s="3">
        <v>0</v>
      </c>
    </row>
    <row r="108" spans="1:12" x14ac:dyDescent="0.2">
      <c r="A108" s="95" t="s">
        <v>68</v>
      </c>
      <c r="B108" s="3">
        <v>7.5718424155342409E-5</v>
      </c>
      <c r="C108" s="3">
        <v>4.2902340446894014E-5</v>
      </c>
      <c r="D108" s="3">
        <v>1.3098636484345767E-4</v>
      </c>
      <c r="E108" s="3">
        <v>2.9028426911081902E-5</v>
      </c>
      <c r="F108" s="1">
        <v>2.3178977923256097E-5</v>
      </c>
      <c r="G108" s="3">
        <v>3.0915721007249603E-5</v>
      </c>
      <c r="H108" s="3">
        <v>1.3940022897710917E-5</v>
      </c>
      <c r="I108" s="3">
        <v>1.1360309113739953E-5</v>
      </c>
      <c r="J108" s="3">
        <v>9.1196244437152521E-6</v>
      </c>
      <c r="K108" s="3">
        <v>7.7068415491888658E-6</v>
      </c>
      <c r="L108" s="3">
        <v>0</v>
      </c>
    </row>
    <row r="109" spans="1:12" x14ac:dyDescent="0.2">
      <c r="A109" s="95" t="s">
        <v>69</v>
      </c>
      <c r="B109" s="3">
        <v>8.1712028666437069E-5</v>
      </c>
      <c r="C109" s="3">
        <v>4.6456141727399311E-5</v>
      </c>
      <c r="D109" s="3">
        <v>1.4124305983138273E-4</v>
      </c>
      <c r="E109" s="3">
        <v>3.1451881717550555E-5</v>
      </c>
      <c r="F109" s="1">
        <v>2.5162453456217109E-5</v>
      </c>
      <c r="G109" s="3">
        <v>3.3541643031663374E-5</v>
      </c>
      <c r="H109" s="3">
        <v>1.517984149898846E-5</v>
      </c>
      <c r="I109" s="3">
        <v>1.2386433353026587E-5</v>
      </c>
      <c r="J109" s="3">
        <v>9.9354162078604675E-6</v>
      </c>
      <c r="K109" s="3">
        <v>8.4525275546140986E-6</v>
      </c>
      <c r="L109" s="3">
        <v>0</v>
      </c>
    </row>
    <row r="110" spans="1:12" x14ac:dyDescent="0.2">
      <c r="A110" s="90"/>
      <c r="F110" s="1"/>
    </row>
    <row r="111" spans="1:12" x14ac:dyDescent="0.2">
      <c r="A111" s="90"/>
      <c r="F111" s="1"/>
    </row>
    <row r="112" spans="1:12" x14ac:dyDescent="0.2">
      <c r="A112" s="90"/>
      <c r="F112" s="1"/>
    </row>
    <row r="113" spans="1:6" x14ac:dyDescent="0.2">
      <c r="A113" s="90"/>
      <c r="F113" s="1"/>
    </row>
    <row r="114" spans="1:6" x14ac:dyDescent="0.2">
      <c r="A114" s="90"/>
      <c r="F114" s="1"/>
    </row>
    <row r="115" spans="1:6" x14ac:dyDescent="0.2">
      <c r="A115" s="90"/>
      <c r="F115" s="1"/>
    </row>
    <row r="116" spans="1:6" x14ac:dyDescent="0.2">
      <c r="A116" s="90"/>
      <c r="F116" s="1"/>
    </row>
    <row r="117" spans="1:6" x14ac:dyDescent="0.2">
      <c r="A117" s="90"/>
    </row>
    <row r="118" spans="1:6" x14ac:dyDescent="0.2">
      <c r="A118" s="90"/>
    </row>
    <row r="119" spans="1:6" x14ac:dyDescent="0.2">
      <c r="A119" s="91"/>
    </row>
    <row r="120" spans="1:6" x14ac:dyDescent="0.2">
      <c r="A120" s="91"/>
    </row>
    <row r="121" spans="1:6" x14ac:dyDescent="0.2">
      <c r="A121" s="91"/>
    </row>
    <row r="122" spans="1:6" x14ac:dyDescent="0.2">
      <c r="A122" s="91"/>
    </row>
    <row r="123" spans="1:6" x14ac:dyDescent="0.2">
      <c r="A123" s="91"/>
    </row>
    <row r="124" spans="1:6" x14ac:dyDescent="0.2">
      <c r="A124" s="92"/>
    </row>
    <row r="125" spans="1:6" x14ac:dyDescent="0.2">
      <c r="A125" s="92"/>
    </row>
    <row r="126" spans="1:6" x14ac:dyDescent="0.2">
      <c r="A126" s="92"/>
    </row>
    <row r="127" spans="1:6" x14ac:dyDescent="0.2">
      <c r="A127" s="92"/>
    </row>
    <row r="128" spans="1:6" x14ac:dyDescent="0.2">
      <c r="A128" s="92"/>
    </row>
    <row r="129" spans="1:1" x14ac:dyDescent="0.2">
      <c r="A129" s="92"/>
    </row>
    <row r="130" spans="1:1" x14ac:dyDescent="0.2">
      <c r="A130" s="92"/>
    </row>
    <row r="131" spans="1:1" x14ac:dyDescent="0.2">
      <c r="A131" s="92"/>
    </row>
    <row r="132" spans="1:1" x14ac:dyDescent="0.2">
      <c r="A132" s="92"/>
    </row>
    <row r="133" spans="1:1" x14ac:dyDescent="0.2">
      <c r="A133" s="92"/>
    </row>
    <row r="134" spans="1:1" x14ac:dyDescent="0.2">
      <c r="A134" s="92"/>
    </row>
    <row r="135" spans="1:1" x14ac:dyDescent="0.2">
      <c r="A135" s="92"/>
    </row>
    <row r="136" spans="1:1" x14ac:dyDescent="0.2">
      <c r="A136" s="92"/>
    </row>
    <row r="137" spans="1:1" x14ac:dyDescent="0.2">
      <c r="A137" s="92"/>
    </row>
    <row r="138" spans="1:1" x14ac:dyDescent="0.2">
      <c r="A138" s="92"/>
    </row>
    <row r="139" spans="1:1" x14ac:dyDescent="0.2">
      <c r="A139" s="92"/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H84"/>
  <sheetViews>
    <sheetView showZeros="0" workbookViewId="0">
      <selection activeCell="BG10" sqref="BG10:DD80"/>
    </sheetView>
  </sheetViews>
  <sheetFormatPr defaultRowHeight="11.25" x14ac:dyDescent="0.2"/>
  <cols>
    <col min="1" max="1" width="12" customWidth="1"/>
    <col min="2" max="2" width="9.33203125" style="1"/>
    <col min="3" max="3" width="9.33203125" style="2"/>
    <col min="4" max="4" width="9.33203125" style="5"/>
    <col min="5" max="6" width="9.5" customWidth="1"/>
    <col min="7" max="9" width="9.33203125" style="4"/>
    <col min="57" max="57" width="4.1640625" style="18" customWidth="1"/>
    <col min="58" max="58" width="9.33203125" style="2"/>
    <col min="59" max="108" width="9.33203125" style="1"/>
    <col min="109" max="109" width="2.83203125" style="17" customWidth="1"/>
    <col min="110" max="112" width="9.33203125" style="1"/>
  </cols>
  <sheetData>
    <row r="1" spans="1:112" x14ac:dyDescent="0.2">
      <c r="A1" s="32" t="s">
        <v>12</v>
      </c>
      <c r="B1" s="32" t="s">
        <v>13</v>
      </c>
      <c r="C1" s="32" t="s">
        <v>14</v>
      </c>
      <c r="D1" s="32" t="s">
        <v>15</v>
      </c>
      <c r="E1" s="32" t="s">
        <v>16</v>
      </c>
    </row>
    <row r="2" spans="1:112" x14ac:dyDescent="0.2">
      <c r="A2" s="95" t="s">
        <v>69</v>
      </c>
      <c r="B2" s="96">
        <v>120</v>
      </c>
      <c r="C2" s="96">
        <v>40</v>
      </c>
      <c r="D2" s="96">
        <v>8</v>
      </c>
      <c r="E2" s="100">
        <v>2719.2218948271529</v>
      </c>
      <c r="F2" s="4"/>
    </row>
    <row r="3" spans="1:112" x14ac:dyDescent="0.2">
      <c r="A3" s="32"/>
      <c r="B3" s="34" t="s">
        <v>17</v>
      </c>
      <c r="C3" s="34" t="s">
        <v>17</v>
      </c>
      <c r="D3" s="36" t="s">
        <v>17</v>
      </c>
      <c r="E3" s="37" t="s">
        <v>18</v>
      </c>
      <c r="F3" s="6"/>
    </row>
    <row r="4" spans="1:112" x14ac:dyDescent="0.2">
      <c r="A4" s="35" t="s">
        <v>36</v>
      </c>
      <c r="B4" s="98">
        <v>2E-3</v>
      </c>
      <c r="C4" s="40" t="s">
        <v>20</v>
      </c>
      <c r="D4" s="30"/>
      <c r="E4" s="33"/>
      <c r="F4" s="28"/>
      <c r="G4"/>
    </row>
    <row r="5" spans="1:112" x14ac:dyDescent="0.2">
      <c r="A5" s="32" t="s">
        <v>19</v>
      </c>
      <c r="B5" s="37">
        <f>B4*0.03</f>
        <v>6.0000000000000002E-5</v>
      </c>
      <c r="C5" s="38" t="s">
        <v>20</v>
      </c>
      <c r="D5" s="36"/>
      <c r="E5" s="32"/>
    </row>
    <row r="6" spans="1:112" x14ac:dyDescent="0.2">
      <c r="B6" s="4"/>
      <c r="C6" s="6"/>
    </row>
    <row r="7" spans="1:112" x14ac:dyDescent="0.2">
      <c r="A7" t="s">
        <v>21</v>
      </c>
      <c r="B7" s="5">
        <f>(3*(B2+4)*(C2+4)*(D2+2)/2/PI())^(1/3)</f>
        <v>29.644121367811767</v>
      </c>
      <c r="C7" s="6" t="s">
        <v>17</v>
      </c>
      <c r="G7" s="7" t="s">
        <v>22</v>
      </c>
      <c r="BF7" s="3" t="s">
        <v>23</v>
      </c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 s="18"/>
      <c r="DF7"/>
      <c r="DG7"/>
      <c r="DH7"/>
    </row>
    <row r="8" spans="1:112" x14ac:dyDescent="0.2">
      <c r="G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 s="18"/>
      <c r="DF8"/>
      <c r="DG8"/>
      <c r="DH8"/>
    </row>
    <row r="9" spans="1:112" x14ac:dyDescent="0.2">
      <c r="A9" s="8" t="s">
        <v>24</v>
      </c>
      <c r="B9" s="1" t="s">
        <v>25</v>
      </c>
      <c r="C9" s="2" t="s">
        <v>11</v>
      </c>
      <c r="D9" s="5" t="s">
        <v>21</v>
      </c>
      <c r="F9" t="s">
        <v>25</v>
      </c>
      <c r="G9" s="94">
        <v>80</v>
      </c>
      <c r="H9" s="94">
        <v>90</v>
      </c>
      <c r="I9" s="94">
        <v>100</v>
      </c>
      <c r="J9" s="94">
        <v>110</v>
      </c>
      <c r="K9" s="94">
        <v>120</v>
      </c>
      <c r="L9" s="94">
        <v>130</v>
      </c>
      <c r="M9" s="94">
        <v>140</v>
      </c>
      <c r="N9" s="94">
        <v>150</v>
      </c>
      <c r="O9" s="94">
        <v>160</v>
      </c>
      <c r="P9" s="94">
        <v>170</v>
      </c>
      <c r="Q9" s="27"/>
      <c r="R9" s="27"/>
      <c r="S9" s="27"/>
      <c r="T9" s="4"/>
      <c r="U9" s="4"/>
      <c r="V9" s="4"/>
      <c r="W9" s="4"/>
      <c r="X9" s="13"/>
      <c r="Y9" s="13"/>
      <c r="Z9" s="13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G9" s="4">
        <f t="shared" ref="BG9:CL9" si="0">G9</f>
        <v>80</v>
      </c>
      <c r="BH9" s="4">
        <f t="shared" si="0"/>
        <v>90</v>
      </c>
      <c r="BI9" s="4">
        <f t="shared" si="0"/>
        <v>100</v>
      </c>
      <c r="BJ9" s="4">
        <f t="shared" si="0"/>
        <v>110</v>
      </c>
      <c r="BK9" s="4">
        <f t="shared" si="0"/>
        <v>120</v>
      </c>
      <c r="BL9" s="4">
        <f t="shared" si="0"/>
        <v>130</v>
      </c>
      <c r="BM9" s="4">
        <f t="shared" si="0"/>
        <v>140</v>
      </c>
      <c r="BN9" s="4">
        <f t="shared" si="0"/>
        <v>150</v>
      </c>
      <c r="BO9" s="4">
        <f t="shared" si="0"/>
        <v>160</v>
      </c>
      <c r="BP9" s="4">
        <f t="shared" si="0"/>
        <v>170</v>
      </c>
      <c r="BQ9" s="4">
        <f t="shared" si="0"/>
        <v>0</v>
      </c>
      <c r="BR9" s="4">
        <f t="shared" si="0"/>
        <v>0</v>
      </c>
      <c r="BS9" s="4">
        <f t="shared" si="0"/>
        <v>0</v>
      </c>
      <c r="BT9" s="4">
        <f t="shared" si="0"/>
        <v>0</v>
      </c>
      <c r="BU9" s="4">
        <f t="shared" si="0"/>
        <v>0</v>
      </c>
      <c r="BV9" s="4">
        <f t="shared" si="0"/>
        <v>0</v>
      </c>
      <c r="BW9" s="4">
        <f t="shared" si="0"/>
        <v>0</v>
      </c>
      <c r="BX9" s="4">
        <f t="shared" si="0"/>
        <v>0</v>
      </c>
      <c r="BY9" s="4">
        <f t="shared" si="0"/>
        <v>0</v>
      </c>
      <c r="BZ9" s="4">
        <f t="shared" si="0"/>
        <v>0</v>
      </c>
      <c r="CA9" s="4">
        <f t="shared" si="0"/>
        <v>0</v>
      </c>
      <c r="CB9" s="4">
        <f t="shared" si="0"/>
        <v>0</v>
      </c>
      <c r="CC9" s="4">
        <f t="shared" si="0"/>
        <v>0</v>
      </c>
      <c r="CD9" s="4">
        <f t="shared" si="0"/>
        <v>0</v>
      </c>
      <c r="CE9" s="4">
        <f t="shared" si="0"/>
        <v>0</v>
      </c>
      <c r="CF9" s="4">
        <f t="shared" si="0"/>
        <v>0</v>
      </c>
      <c r="CG9" s="4">
        <f t="shared" si="0"/>
        <v>0</v>
      </c>
      <c r="CH9" s="4">
        <f t="shared" si="0"/>
        <v>0</v>
      </c>
      <c r="CI9" s="4">
        <f t="shared" si="0"/>
        <v>0</v>
      </c>
      <c r="CJ9" s="4">
        <f t="shared" si="0"/>
        <v>0</v>
      </c>
      <c r="CK9" s="4">
        <f t="shared" si="0"/>
        <v>0</v>
      </c>
      <c r="CL9" s="4">
        <f t="shared" si="0"/>
        <v>0</v>
      </c>
      <c r="CM9" s="4">
        <f t="shared" ref="CM9:DD9" si="1">AM9</f>
        <v>0</v>
      </c>
      <c r="CN9" s="4">
        <f t="shared" si="1"/>
        <v>0</v>
      </c>
      <c r="CO9" s="4">
        <f t="shared" si="1"/>
        <v>0</v>
      </c>
      <c r="CP9" s="4">
        <f t="shared" si="1"/>
        <v>0</v>
      </c>
      <c r="CQ9" s="4">
        <f t="shared" si="1"/>
        <v>0</v>
      </c>
      <c r="CR9" s="4">
        <f t="shared" si="1"/>
        <v>0</v>
      </c>
      <c r="CS9" s="4">
        <f t="shared" si="1"/>
        <v>0</v>
      </c>
      <c r="CT9" s="4">
        <f t="shared" si="1"/>
        <v>0</v>
      </c>
      <c r="CU9" s="4">
        <f t="shared" si="1"/>
        <v>0</v>
      </c>
      <c r="CV9" s="4">
        <f t="shared" si="1"/>
        <v>0</v>
      </c>
      <c r="CW9" s="4">
        <f t="shared" si="1"/>
        <v>0</v>
      </c>
      <c r="CX9" s="4">
        <f t="shared" si="1"/>
        <v>0</v>
      </c>
      <c r="CY9" s="4">
        <f t="shared" si="1"/>
        <v>0</v>
      </c>
      <c r="CZ9" s="4">
        <f t="shared" si="1"/>
        <v>0</v>
      </c>
      <c r="DA9" s="4">
        <f t="shared" si="1"/>
        <v>0</v>
      </c>
      <c r="DB9" s="4">
        <f t="shared" si="1"/>
        <v>0</v>
      </c>
      <c r="DC9" s="4">
        <f t="shared" si="1"/>
        <v>0</v>
      </c>
      <c r="DD9" s="4">
        <f t="shared" si="1"/>
        <v>0</v>
      </c>
      <c r="DE9" s="15"/>
      <c r="DF9" s="4"/>
      <c r="DG9" s="4"/>
      <c r="DH9" s="4"/>
    </row>
    <row r="10" spans="1:112" x14ac:dyDescent="0.2">
      <c r="A10">
        <v>10</v>
      </c>
      <c r="B10" s="1">
        <f>IF(A10&lt;($E$2+0.001),EXP(($E$2-A10)/($E$2)*(LN($B$5)-LN($B$5*0.001))+LN($B$5*0.001)),0)</f>
        <v>5.8494991547432681E-5</v>
      </c>
      <c r="C10" s="3">
        <f t="shared" ref="C10:C41" si="2">B10-B11</f>
        <v>1.4672576118621923E-6</v>
      </c>
      <c r="D10" s="5">
        <f t="shared" ref="D10:D41" si="3">$B$7* (A10/1000)^1.2^0.3333/($E$2/1000+1)^1.2^0.3333</f>
        <v>2.7788209524360412</v>
      </c>
      <c r="F10" s="1">
        <f t="shared" ref="F10:F41" si="4">B10</f>
        <v>5.8494991547432681E-5</v>
      </c>
      <c r="G10" s="4">
        <f t="shared" ref="G10:V25" si="5">IF(G$9=0, 0,MIN($D10/($D10+G$9)*$A10, 1000*10^(0.08*(LOG(($D10+G$9)/$D10)+0.2-0.02*$A10/1000)^4-0.592*(LOG(($D10+G$9)/$D10)+0.2-0.02*$A10/1000)^3+1.63*(LOG(($D10+G$9)/$D10)+0.2-0.02*$A10/1000)^2-3.28*(LOG(($D10+G$9)/$D10)+0.2-0.02*$A10/1000)+1.39)))</f>
        <v>0.3356922604675327</v>
      </c>
      <c r="H10" s="4">
        <f t="shared" si="5"/>
        <v>0.29951026795874364</v>
      </c>
      <c r="I10" s="4">
        <f t="shared" si="5"/>
        <v>0.27036902415158309</v>
      </c>
      <c r="J10" s="4">
        <f t="shared" si="5"/>
        <v>0.24639563784835067</v>
      </c>
      <c r="K10" s="4">
        <f t="shared" si="5"/>
        <v>0.2263273853649844</v>
      </c>
      <c r="L10" s="4">
        <f t="shared" si="5"/>
        <v>0.2092819421428263</v>
      </c>
      <c r="M10" s="4">
        <f t="shared" si="5"/>
        <v>0.19462417002040877</v>
      </c>
      <c r="N10" s="4">
        <f t="shared" si="5"/>
        <v>0.18188522041946897</v>
      </c>
      <c r="O10" s="4">
        <f t="shared" si="5"/>
        <v>0.17071145596072429</v>
      </c>
      <c r="P10" s="4">
        <f t="shared" si="5"/>
        <v>0.16083110980373097</v>
      </c>
      <c r="Q10" s="4">
        <f t="shared" si="5"/>
        <v>0</v>
      </c>
      <c r="R10" s="4">
        <f t="shared" si="5"/>
        <v>0</v>
      </c>
      <c r="S10" s="4">
        <f t="shared" si="5"/>
        <v>0</v>
      </c>
      <c r="T10" s="4">
        <f t="shared" si="5"/>
        <v>0</v>
      </c>
      <c r="U10" s="4">
        <f t="shared" si="5"/>
        <v>0</v>
      </c>
      <c r="V10" s="4">
        <f t="shared" si="5"/>
        <v>0</v>
      </c>
      <c r="W10" s="4">
        <f t="shared" ref="W10:AL25" si="6">IF(W$9=0, 0,MIN($D10/($D10+W$9)*$A10, 1000*10^(0.08*(LOG(($D10+W$9)/$D10)+0.2-0.02*$A10/1000)^4-0.592*(LOG(($D10+W$9)/$D10)+0.2-0.02*$A10/1000)^3+1.63*(LOG(($D10+W$9)/$D10)+0.2-0.02*$A10/1000)^2-3.28*(LOG(($D10+W$9)/$D10)+0.2-0.02*$A10/1000)+1.39)))</f>
        <v>0</v>
      </c>
      <c r="X10" s="4">
        <f t="shared" si="6"/>
        <v>0</v>
      </c>
      <c r="Y10" s="4">
        <f t="shared" si="6"/>
        <v>0</v>
      </c>
      <c r="Z10" s="4">
        <f t="shared" si="6"/>
        <v>0</v>
      </c>
      <c r="AA10" s="4">
        <f t="shared" si="6"/>
        <v>0</v>
      </c>
      <c r="AB10" s="4">
        <f t="shared" si="6"/>
        <v>0</v>
      </c>
      <c r="AC10" s="4">
        <f t="shared" si="6"/>
        <v>0</v>
      </c>
      <c r="AD10" s="4">
        <f t="shared" si="6"/>
        <v>0</v>
      </c>
      <c r="AE10" s="4">
        <f t="shared" si="6"/>
        <v>0</v>
      </c>
      <c r="AF10" s="4">
        <f t="shared" si="6"/>
        <v>0</v>
      </c>
      <c r="AG10" s="4">
        <f t="shared" si="6"/>
        <v>0</v>
      </c>
      <c r="AH10" s="4">
        <f t="shared" si="6"/>
        <v>0</v>
      </c>
      <c r="AI10" s="4">
        <f t="shared" si="6"/>
        <v>0</v>
      </c>
      <c r="AJ10" s="4">
        <f t="shared" si="6"/>
        <v>0</v>
      </c>
      <c r="AK10" s="4">
        <f t="shared" si="6"/>
        <v>0</v>
      </c>
      <c r="AL10" s="4">
        <f t="shared" si="6"/>
        <v>0</v>
      </c>
      <c r="AM10" s="4">
        <f t="shared" ref="AM10:AX25" si="7">IF(AM$9=0, 0,MIN($D10/($D10+AM$9)*$A10, 1000*10^(0.08*(LOG(($D10+AM$9)/$D10)+0.2-0.02*$A10/1000)^4-0.592*(LOG(($D10+AM$9)/$D10)+0.2-0.02*$A10/1000)^3+1.63*(LOG(($D10+AM$9)/$D10)+0.2-0.02*$A10/1000)^2-3.28*(LOG(($D10+AM$9)/$D10)+0.2-0.02*$A10/1000)+1.39)))</f>
        <v>0</v>
      </c>
      <c r="AN10" s="4">
        <f t="shared" si="7"/>
        <v>0</v>
      </c>
      <c r="AO10" s="4">
        <f t="shared" si="7"/>
        <v>0</v>
      </c>
      <c r="AP10" s="4">
        <f t="shared" si="7"/>
        <v>0</v>
      </c>
      <c r="AQ10" s="4">
        <f t="shared" si="7"/>
        <v>0</v>
      </c>
      <c r="AR10" s="4">
        <f t="shared" si="7"/>
        <v>0</v>
      </c>
      <c r="AS10" s="4">
        <f t="shared" si="7"/>
        <v>0</v>
      </c>
      <c r="AT10" s="4">
        <f t="shared" si="7"/>
        <v>0</v>
      </c>
      <c r="AU10" s="4">
        <f t="shared" si="7"/>
        <v>0</v>
      </c>
      <c r="AV10" s="4">
        <f t="shared" si="7"/>
        <v>0</v>
      </c>
      <c r="AW10" s="4">
        <f t="shared" si="7"/>
        <v>0</v>
      </c>
      <c r="AX10" s="4">
        <f t="shared" si="7"/>
        <v>0</v>
      </c>
      <c r="AY10" s="4">
        <f t="shared" ref="AY10:BD25" si="8">IF(AY$9=0, 0,MIN($D10/($D10+AY$9)*$A10, 1000*10^(0.08*(LOG(($D10+AY$9)/$D10)+0.2-0.02*$A10/1000)^4-0.592*(LOG(($D10+AY$9)/$D10)+0.2-0.02*$A10/1000)^3+1.63*(LOG(($D10+AY$9)/$D10)+0.2-0.02*$A10/1000)^2-3.28*(LOG(($D10+AY$9)/$D10)+0.2-0.02*$A10/1000)+1.39)))</f>
        <v>0</v>
      </c>
      <c r="AZ10" s="4">
        <f t="shared" si="8"/>
        <v>0</v>
      </c>
      <c r="BA10" s="4">
        <f t="shared" si="8"/>
        <v>0</v>
      </c>
      <c r="BB10" s="4">
        <f t="shared" si="8"/>
        <v>0</v>
      </c>
      <c r="BC10" s="4">
        <f t="shared" si="8"/>
        <v>0</v>
      </c>
      <c r="BD10" s="4">
        <f t="shared" si="8"/>
        <v>0</v>
      </c>
      <c r="BF10" s="2">
        <f t="shared" ref="BF10:BF41" si="9">A10</f>
        <v>10</v>
      </c>
      <c r="BG10" s="1">
        <f>LOOKUP($A10,G10:G80,$B10:$B80)</f>
        <v>4.6539913534144913E-5</v>
      </c>
      <c r="BH10" s="1">
        <f t="shared" ref="BH10:BW25" si="10">LOOKUP($A10,H10:H80,$B10:$B80)</f>
        <v>4.4234430106827897E-5</v>
      </c>
      <c r="BI10" s="1">
        <f t="shared" si="10"/>
        <v>4.4234430106827897E-5</v>
      </c>
      <c r="BJ10" s="1">
        <f t="shared" si="10"/>
        <v>4.2043155182062788E-5</v>
      </c>
      <c r="BK10" s="1">
        <f t="shared" si="10"/>
        <v>4.2043155182062788E-5</v>
      </c>
      <c r="BL10" s="1">
        <f t="shared" si="10"/>
        <v>3.9960431125576405E-5</v>
      </c>
      <c r="BM10" s="1">
        <f t="shared" si="10"/>
        <v>3.9960431125576405E-5</v>
      </c>
      <c r="BN10" s="1">
        <f t="shared" si="10"/>
        <v>3.9960431125576405E-5</v>
      </c>
      <c r="BO10" s="1">
        <f t="shared" si="10"/>
        <v>3.7980880569667637E-5</v>
      </c>
      <c r="BP10" s="1">
        <f t="shared" si="10"/>
        <v>3.7980880569667637E-5</v>
      </c>
      <c r="BQ10" s="1">
        <f t="shared" si="10"/>
        <v>0</v>
      </c>
      <c r="BR10" s="1">
        <f t="shared" si="10"/>
        <v>0</v>
      </c>
      <c r="BS10" s="1">
        <f t="shared" si="10"/>
        <v>0</v>
      </c>
      <c r="BT10" s="1">
        <f t="shared" si="10"/>
        <v>0</v>
      </c>
      <c r="BU10" s="1">
        <f t="shared" si="10"/>
        <v>0</v>
      </c>
      <c r="BV10" s="1">
        <f t="shared" si="10"/>
        <v>0</v>
      </c>
      <c r="BW10" s="1">
        <f t="shared" si="10"/>
        <v>0</v>
      </c>
      <c r="BX10" s="1">
        <f t="shared" ref="BX10:CM25" si="11">LOOKUP($A10,X10:X80,$B10:$B80)</f>
        <v>0</v>
      </c>
      <c r="BY10" s="1">
        <f t="shared" si="11"/>
        <v>0</v>
      </c>
      <c r="BZ10" s="1">
        <f t="shared" si="11"/>
        <v>0</v>
      </c>
      <c r="CA10" s="1">
        <f t="shared" si="11"/>
        <v>0</v>
      </c>
      <c r="CB10" s="1">
        <f t="shared" si="11"/>
        <v>0</v>
      </c>
      <c r="CC10" s="1">
        <f t="shared" si="11"/>
        <v>0</v>
      </c>
      <c r="CD10" s="1">
        <f t="shared" si="11"/>
        <v>0</v>
      </c>
      <c r="CE10" s="1">
        <f t="shared" si="11"/>
        <v>0</v>
      </c>
      <c r="CF10" s="1">
        <f t="shared" si="11"/>
        <v>0</v>
      </c>
      <c r="CG10" s="1">
        <f t="shared" si="11"/>
        <v>0</v>
      </c>
      <c r="CH10" s="1">
        <f t="shared" si="11"/>
        <v>0</v>
      </c>
      <c r="CI10" s="1">
        <f t="shared" si="11"/>
        <v>0</v>
      </c>
      <c r="CJ10" s="1">
        <f t="shared" si="11"/>
        <v>0</v>
      </c>
      <c r="CK10" s="1">
        <f t="shared" si="11"/>
        <v>0</v>
      </c>
      <c r="CL10" s="1">
        <f t="shared" si="11"/>
        <v>0</v>
      </c>
      <c r="CM10" s="1">
        <f t="shared" si="11"/>
        <v>0</v>
      </c>
      <c r="CN10" s="1">
        <f t="shared" ref="CN10:DC25" si="12">LOOKUP($A10,AN10:AN80,$B10:$B80)</f>
        <v>0</v>
      </c>
      <c r="CO10" s="1">
        <f t="shared" si="12"/>
        <v>0</v>
      </c>
      <c r="CP10" s="1">
        <f t="shared" si="12"/>
        <v>0</v>
      </c>
      <c r="CQ10" s="1">
        <f t="shared" si="12"/>
        <v>0</v>
      </c>
      <c r="CR10" s="1">
        <f t="shared" si="12"/>
        <v>0</v>
      </c>
      <c r="CS10" s="1">
        <f t="shared" si="12"/>
        <v>0</v>
      </c>
      <c r="CT10" s="1">
        <f t="shared" si="12"/>
        <v>0</v>
      </c>
      <c r="CU10" s="1">
        <f t="shared" si="12"/>
        <v>0</v>
      </c>
      <c r="CV10" s="1">
        <f t="shared" si="12"/>
        <v>0</v>
      </c>
      <c r="CW10" s="1">
        <f t="shared" si="12"/>
        <v>0</v>
      </c>
      <c r="CX10" s="1">
        <f t="shared" si="12"/>
        <v>0</v>
      </c>
      <c r="CY10" s="1">
        <f t="shared" si="12"/>
        <v>0</v>
      </c>
      <c r="CZ10" s="1">
        <f t="shared" si="12"/>
        <v>0</v>
      </c>
      <c r="DA10" s="1">
        <f t="shared" si="12"/>
        <v>0</v>
      </c>
      <c r="DB10" s="1">
        <f t="shared" si="12"/>
        <v>0</v>
      </c>
      <c r="DC10" s="1">
        <f t="shared" si="12"/>
        <v>0</v>
      </c>
      <c r="DD10" s="1">
        <f t="shared" ref="DD10:DD24" si="13">LOOKUP($A10,BD10:BD80,$B10:$B80)</f>
        <v>0</v>
      </c>
    </row>
    <row r="11" spans="1:112" x14ac:dyDescent="0.2">
      <c r="A11">
        <v>20</v>
      </c>
      <c r="B11" s="1">
        <f t="shared" ref="B11:B26" si="14">IF(A11&lt;($E$2+0.001),EXP(($E$2-A11)/($E$2)*(LN($B$5)-LN($B$5*0.001))+LN($B$5*0.001)),0)</f>
        <v>5.7027733935570489E-5</v>
      </c>
      <c r="C11" s="3">
        <f t="shared" si="2"/>
        <v>1.430453693396523E-6</v>
      </c>
      <c r="D11" s="5">
        <f t="shared" si="3"/>
        <v>3.6665745689185272</v>
      </c>
      <c r="F11" s="1">
        <f t="shared" si="4"/>
        <v>5.7027733935570489E-5</v>
      </c>
      <c r="G11" s="4">
        <f t="shared" si="5"/>
        <v>0.87647297330148644</v>
      </c>
      <c r="H11" s="4">
        <f t="shared" si="5"/>
        <v>0.7828992542522657</v>
      </c>
      <c r="I11" s="4">
        <f t="shared" si="5"/>
        <v>0.70737835877483413</v>
      </c>
      <c r="J11" s="4">
        <f t="shared" si="5"/>
        <v>0.6451456081656447</v>
      </c>
      <c r="K11" s="4">
        <f t="shared" si="5"/>
        <v>0.592977460837677</v>
      </c>
      <c r="L11" s="4">
        <f t="shared" si="5"/>
        <v>0.54861502671754947</v>
      </c>
      <c r="M11" s="4">
        <f t="shared" si="5"/>
        <v>0.51042834144550842</v>
      </c>
      <c r="N11" s="4">
        <f t="shared" si="5"/>
        <v>0.47721172664964834</v>
      </c>
      <c r="O11" s="4">
        <f t="shared" si="5"/>
        <v>0.44805417093574784</v>
      </c>
      <c r="P11" s="4">
        <f t="shared" si="5"/>
        <v>0.42225449290052869</v>
      </c>
      <c r="Q11" s="4">
        <f t="shared" si="5"/>
        <v>0</v>
      </c>
      <c r="R11" s="4">
        <f t="shared" si="5"/>
        <v>0</v>
      </c>
      <c r="S11" s="4">
        <f t="shared" si="5"/>
        <v>0</v>
      </c>
      <c r="T11" s="4">
        <f t="shared" si="5"/>
        <v>0</v>
      </c>
      <c r="U11" s="4">
        <f t="shared" si="5"/>
        <v>0</v>
      </c>
      <c r="V11" s="4">
        <f t="shared" si="5"/>
        <v>0</v>
      </c>
      <c r="W11" s="4">
        <f t="shared" si="6"/>
        <v>0</v>
      </c>
      <c r="X11" s="4">
        <f t="shared" si="6"/>
        <v>0</v>
      </c>
      <c r="Y11" s="4">
        <f t="shared" si="6"/>
        <v>0</v>
      </c>
      <c r="Z11" s="4">
        <f t="shared" si="6"/>
        <v>0</v>
      </c>
      <c r="AA11" s="4">
        <f t="shared" si="6"/>
        <v>0</v>
      </c>
      <c r="AB11" s="4">
        <f t="shared" si="6"/>
        <v>0</v>
      </c>
      <c r="AC11" s="4">
        <f t="shared" si="6"/>
        <v>0</v>
      </c>
      <c r="AD11" s="4">
        <f t="shared" si="6"/>
        <v>0</v>
      </c>
      <c r="AE11" s="4">
        <f t="shared" si="6"/>
        <v>0</v>
      </c>
      <c r="AF11" s="4">
        <f t="shared" si="6"/>
        <v>0</v>
      </c>
      <c r="AG11" s="4">
        <f t="shared" si="6"/>
        <v>0</v>
      </c>
      <c r="AH11" s="4">
        <f t="shared" si="6"/>
        <v>0</v>
      </c>
      <c r="AI11" s="4">
        <f t="shared" si="6"/>
        <v>0</v>
      </c>
      <c r="AJ11" s="4">
        <f t="shared" si="6"/>
        <v>0</v>
      </c>
      <c r="AK11" s="4">
        <f t="shared" si="6"/>
        <v>0</v>
      </c>
      <c r="AL11" s="4">
        <f t="shared" si="6"/>
        <v>0</v>
      </c>
      <c r="AM11" s="4">
        <f t="shared" si="7"/>
        <v>0</v>
      </c>
      <c r="AN11" s="4">
        <f t="shared" si="7"/>
        <v>0</v>
      </c>
      <c r="AO11" s="4">
        <f t="shared" si="7"/>
        <v>0</v>
      </c>
      <c r="AP11" s="4">
        <f t="shared" si="7"/>
        <v>0</v>
      </c>
      <c r="AQ11" s="4">
        <f t="shared" si="7"/>
        <v>0</v>
      </c>
      <c r="AR11" s="4">
        <f t="shared" si="7"/>
        <v>0</v>
      </c>
      <c r="AS11" s="4">
        <f t="shared" si="7"/>
        <v>0</v>
      </c>
      <c r="AT11" s="4">
        <f t="shared" si="7"/>
        <v>0</v>
      </c>
      <c r="AU11" s="4">
        <f t="shared" si="7"/>
        <v>0</v>
      </c>
      <c r="AV11" s="4">
        <f t="shared" si="7"/>
        <v>0</v>
      </c>
      <c r="AW11" s="4">
        <f t="shared" si="7"/>
        <v>0</v>
      </c>
      <c r="AX11" s="4">
        <f t="shared" si="7"/>
        <v>0</v>
      </c>
      <c r="AY11" s="4">
        <f t="shared" si="8"/>
        <v>0</v>
      </c>
      <c r="AZ11" s="4">
        <f t="shared" si="8"/>
        <v>0</v>
      </c>
      <c r="BA11" s="4">
        <f t="shared" si="8"/>
        <v>0</v>
      </c>
      <c r="BB11" s="4">
        <f t="shared" si="8"/>
        <v>0</v>
      </c>
      <c r="BC11" s="4">
        <f t="shared" si="8"/>
        <v>0</v>
      </c>
      <c r="BD11" s="4">
        <f t="shared" si="8"/>
        <v>0</v>
      </c>
      <c r="BF11" s="2">
        <f t="shared" si="9"/>
        <v>20</v>
      </c>
      <c r="BG11" s="1">
        <f t="shared" ref="BG11:BG26" si="15">LOOKUP($A11,G11:G81,$B11:$B81)</f>
        <v>3.7980880569667637E-5</v>
      </c>
      <c r="BH11" s="1">
        <f t="shared" si="10"/>
        <v>3.6099392529428105E-5</v>
      </c>
      <c r="BI11" s="1">
        <f t="shared" si="10"/>
        <v>3.4311109206732467E-5</v>
      </c>
      <c r="BJ11" s="1">
        <f t="shared" si="10"/>
        <v>3.2611413447930728E-5</v>
      </c>
      <c r="BK11" s="1">
        <f t="shared" si="10"/>
        <v>3.2611413447930728E-5</v>
      </c>
      <c r="BL11" s="1">
        <f t="shared" si="10"/>
        <v>3.0995916822858E-5</v>
      </c>
      <c r="BM11" s="1">
        <f t="shared" si="10"/>
        <v>2.9460448294383626E-5</v>
      </c>
      <c r="BN11" s="1">
        <f t="shared" si="10"/>
        <v>2.9460448294383626E-5</v>
      </c>
      <c r="BO11" s="1">
        <f t="shared" si="10"/>
        <v>2.8001043449245698E-5</v>
      </c>
      <c r="BP11" s="1">
        <f t="shared" si="10"/>
        <v>2.6613934262365561E-5</v>
      </c>
      <c r="BQ11" s="1">
        <f t="shared" si="10"/>
        <v>0</v>
      </c>
      <c r="BR11" s="1">
        <f t="shared" si="10"/>
        <v>0</v>
      </c>
      <c r="BS11" s="1">
        <f t="shared" si="10"/>
        <v>0</v>
      </c>
      <c r="BT11" s="1">
        <f t="shared" si="10"/>
        <v>0</v>
      </c>
      <c r="BU11" s="1">
        <f t="shared" si="10"/>
        <v>0</v>
      </c>
      <c r="BV11" s="1">
        <f t="shared" si="10"/>
        <v>0</v>
      </c>
      <c r="BW11" s="1">
        <f t="shared" si="10"/>
        <v>0</v>
      </c>
      <c r="BX11" s="1">
        <f t="shared" si="11"/>
        <v>0</v>
      </c>
      <c r="BY11" s="1">
        <f t="shared" si="11"/>
        <v>0</v>
      </c>
      <c r="BZ11" s="1">
        <f t="shared" si="11"/>
        <v>0</v>
      </c>
      <c r="CA11" s="1">
        <f t="shared" si="11"/>
        <v>0</v>
      </c>
      <c r="CB11" s="1">
        <f t="shared" si="11"/>
        <v>0</v>
      </c>
      <c r="CC11" s="1">
        <f t="shared" si="11"/>
        <v>0</v>
      </c>
      <c r="CD11" s="1">
        <f t="shared" si="11"/>
        <v>0</v>
      </c>
      <c r="CE11" s="1">
        <f t="shared" si="11"/>
        <v>0</v>
      </c>
      <c r="CF11" s="1">
        <f t="shared" si="11"/>
        <v>0</v>
      </c>
      <c r="CG11" s="1">
        <f t="shared" si="11"/>
        <v>0</v>
      </c>
      <c r="CH11" s="1">
        <f t="shared" si="11"/>
        <v>0</v>
      </c>
      <c r="CI11" s="1">
        <f t="shared" si="11"/>
        <v>0</v>
      </c>
      <c r="CJ11" s="1">
        <f t="shared" si="11"/>
        <v>0</v>
      </c>
      <c r="CK11" s="1">
        <f t="shared" si="11"/>
        <v>0</v>
      </c>
      <c r="CL11" s="1">
        <f t="shared" si="11"/>
        <v>0</v>
      </c>
      <c r="CM11" s="1">
        <f t="shared" si="11"/>
        <v>0</v>
      </c>
      <c r="CN11" s="1">
        <f t="shared" si="12"/>
        <v>0</v>
      </c>
      <c r="CO11" s="1">
        <f t="shared" si="12"/>
        <v>0</v>
      </c>
      <c r="CP11" s="1">
        <f t="shared" si="12"/>
        <v>0</v>
      </c>
      <c r="CQ11" s="1">
        <f t="shared" si="12"/>
        <v>0</v>
      </c>
      <c r="CR11" s="1">
        <f t="shared" si="12"/>
        <v>0</v>
      </c>
      <c r="CS11" s="1">
        <f t="shared" si="12"/>
        <v>0</v>
      </c>
      <c r="CT11" s="1">
        <f t="shared" si="12"/>
        <v>0</v>
      </c>
      <c r="CU11" s="1">
        <f t="shared" si="12"/>
        <v>0</v>
      </c>
      <c r="CV11" s="1">
        <f t="shared" si="12"/>
        <v>0</v>
      </c>
      <c r="CW11" s="1">
        <f t="shared" si="12"/>
        <v>0</v>
      </c>
      <c r="CX11" s="1">
        <f t="shared" si="12"/>
        <v>0</v>
      </c>
      <c r="CY11" s="1">
        <f t="shared" si="12"/>
        <v>0</v>
      </c>
      <c r="CZ11" s="1">
        <f t="shared" si="12"/>
        <v>0</v>
      </c>
      <c r="DA11" s="1">
        <f t="shared" si="12"/>
        <v>0</v>
      </c>
      <c r="DB11" s="1">
        <f t="shared" si="12"/>
        <v>0</v>
      </c>
      <c r="DC11" s="1">
        <f t="shared" si="12"/>
        <v>0</v>
      </c>
      <c r="DD11" s="1">
        <f t="shared" si="13"/>
        <v>0</v>
      </c>
    </row>
    <row r="12" spans="1:112" x14ac:dyDescent="0.2">
      <c r="A12">
        <v>30</v>
      </c>
      <c r="B12" s="1">
        <f t="shared" si="14"/>
        <v>5.5597280242173966E-5</v>
      </c>
      <c r="C12" s="3">
        <f t="shared" si="2"/>
        <v>1.3945729450703009E-6</v>
      </c>
      <c r="D12" s="5">
        <f t="shared" si="3"/>
        <v>4.3121114980302</v>
      </c>
      <c r="F12" s="1">
        <f t="shared" si="4"/>
        <v>5.5597280242173966E-5</v>
      </c>
      <c r="G12" s="4">
        <f t="shared" si="5"/>
        <v>1.5343388113809524</v>
      </c>
      <c r="H12" s="4">
        <f t="shared" si="5"/>
        <v>1.3716514547933525</v>
      </c>
      <c r="I12" s="4">
        <f t="shared" si="5"/>
        <v>1.2401565176192302</v>
      </c>
      <c r="J12" s="4">
        <f t="shared" si="5"/>
        <v>1.1316678805564286</v>
      </c>
      <c r="K12" s="4">
        <f t="shared" si="5"/>
        <v>1.0406334779612834</v>
      </c>
      <c r="L12" s="4">
        <f t="shared" si="5"/>
        <v>0.96315472594445228</v>
      </c>
      <c r="M12" s="4">
        <f t="shared" si="5"/>
        <v>0.89641363845384359</v>
      </c>
      <c r="N12" s="4">
        <f t="shared" si="5"/>
        <v>0.83832269343652488</v>
      </c>
      <c r="O12" s="4">
        <f t="shared" si="5"/>
        <v>0.7873025534241086</v>
      </c>
      <c r="P12" s="4">
        <f t="shared" si="5"/>
        <v>0.7421362969512757</v>
      </c>
      <c r="Q12" s="4">
        <f t="shared" si="5"/>
        <v>0</v>
      </c>
      <c r="R12" s="4">
        <f t="shared" si="5"/>
        <v>0</v>
      </c>
      <c r="S12" s="4">
        <f t="shared" si="5"/>
        <v>0</v>
      </c>
      <c r="T12" s="4">
        <f t="shared" si="5"/>
        <v>0</v>
      </c>
      <c r="U12" s="4">
        <f t="shared" si="5"/>
        <v>0</v>
      </c>
      <c r="V12" s="4">
        <f t="shared" si="5"/>
        <v>0</v>
      </c>
      <c r="W12" s="4">
        <f t="shared" si="6"/>
        <v>0</v>
      </c>
      <c r="X12" s="4">
        <f t="shared" si="6"/>
        <v>0</v>
      </c>
      <c r="Y12" s="4">
        <f t="shared" si="6"/>
        <v>0</v>
      </c>
      <c r="Z12" s="4">
        <f t="shared" si="6"/>
        <v>0</v>
      </c>
      <c r="AA12" s="4">
        <f t="shared" si="6"/>
        <v>0</v>
      </c>
      <c r="AB12" s="4">
        <f t="shared" si="6"/>
        <v>0</v>
      </c>
      <c r="AC12" s="4">
        <f t="shared" si="6"/>
        <v>0</v>
      </c>
      <c r="AD12" s="4">
        <f t="shared" si="6"/>
        <v>0</v>
      </c>
      <c r="AE12" s="4">
        <f t="shared" si="6"/>
        <v>0</v>
      </c>
      <c r="AF12" s="4">
        <f t="shared" si="6"/>
        <v>0</v>
      </c>
      <c r="AG12" s="4">
        <f t="shared" si="6"/>
        <v>0</v>
      </c>
      <c r="AH12" s="4">
        <f t="shared" si="6"/>
        <v>0</v>
      </c>
      <c r="AI12" s="4">
        <f t="shared" si="6"/>
        <v>0</v>
      </c>
      <c r="AJ12" s="4">
        <f t="shared" si="6"/>
        <v>0</v>
      </c>
      <c r="AK12" s="4">
        <f t="shared" si="6"/>
        <v>0</v>
      </c>
      <c r="AL12" s="4">
        <f t="shared" si="6"/>
        <v>0</v>
      </c>
      <c r="AM12" s="4">
        <f t="shared" si="7"/>
        <v>0</v>
      </c>
      <c r="AN12" s="4">
        <f t="shared" si="7"/>
        <v>0</v>
      </c>
      <c r="AO12" s="4">
        <f t="shared" si="7"/>
        <v>0</v>
      </c>
      <c r="AP12" s="4">
        <f t="shared" si="7"/>
        <v>0</v>
      </c>
      <c r="AQ12" s="4">
        <f t="shared" si="7"/>
        <v>0</v>
      </c>
      <c r="AR12" s="4">
        <f t="shared" si="7"/>
        <v>0</v>
      </c>
      <c r="AS12" s="4">
        <f t="shared" si="7"/>
        <v>0</v>
      </c>
      <c r="AT12" s="4">
        <f t="shared" si="7"/>
        <v>0</v>
      </c>
      <c r="AU12" s="4">
        <f t="shared" si="7"/>
        <v>0</v>
      </c>
      <c r="AV12" s="4">
        <f t="shared" si="7"/>
        <v>0</v>
      </c>
      <c r="AW12" s="4">
        <f t="shared" si="7"/>
        <v>0</v>
      </c>
      <c r="AX12" s="4">
        <f t="shared" si="7"/>
        <v>0</v>
      </c>
      <c r="AY12" s="4">
        <f t="shared" si="8"/>
        <v>0</v>
      </c>
      <c r="AZ12" s="4">
        <f t="shared" si="8"/>
        <v>0</v>
      </c>
      <c r="BA12" s="4">
        <f t="shared" si="8"/>
        <v>0</v>
      </c>
      <c r="BB12" s="4">
        <f t="shared" si="8"/>
        <v>0</v>
      </c>
      <c r="BC12" s="4">
        <f t="shared" si="8"/>
        <v>0</v>
      </c>
      <c r="BD12" s="4">
        <f t="shared" si="8"/>
        <v>0</v>
      </c>
      <c r="BF12" s="2">
        <f t="shared" si="9"/>
        <v>30</v>
      </c>
      <c r="BG12" s="1">
        <f t="shared" si="15"/>
        <v>3.0995916822858E-5</v>
      </c>
      <c r="BH12" s="1">
        <f t="shared" si="10"/>
        <v>2.9460448294383626E-5</v>
      </c>
      <c r="BI12" s="1">
        <f t="shared" si="10"/>
        <v>2.8001043449245698E-5</v>
      </c>
      <c r="BJ12" s="1">
        <f t="shared" si="10"/>
        <v>2.6613934262365561E-5</v>
      </c>
      <c r="BK12" s="1">
        <f t="shared" si="10"/>
        <v>2.5295539368215748E-5</v>
      </c>
      <c r="BL12" s="1">
        <f t="shared" si="10"/>
        <v>2.4042454814122668E-5</v>
      </c>
      <c r="BM12" s="1">
        <f t="shared" si="10"/>
        <v>2.2851445271629364E-5</v>
      </c>
      <c r="BN12" s="1">
        <f t="shared" si="10"/>
        <v>2.171943568322884E-5</v>
      </c>
      <c r="BO12" s="1">
        <f t="shared" si="10"/>
        <v>2.171943568322884E-5</v>
      </c>
      <c r="BP12" s="1">
        <f t="shared" si="10"/>
        <v>2.0643503322898512E-5</v>
      </c>
      <c r="BQ12" s="1">
        <f t="shared" si="10"/>
        <v>0</v>
      </c>
      <c r="BR12" s="1">
        <f t="shared" si="10"/>
        <v>0</v>
      </c>
      <c r="BS12" s="1">
        <f t="shared" si="10"/>
        <v>0</v>
      </c>
      <c r="BT12" s="1">
        <f t="shared" si="10"/>
        <v>0</v>
      </c>
      <c r="BU12" s="1">
        <f t="shared" si="10"/>
        <v>0</v>
      </c>
      <c r="BV12" s="1">
        <f t="shared" si="10"/>
        <v>0</v>
      </c>
      <c r="BW12" s="1">
        <f t="shared" si="10"/>
        <v>0</v>
      </c>
      <c r="BX12" s="1">
        <f t="shared" si="11"/>
        <v>0</v>
      </c>
      <c r="BY12" s="1">
        <f t="shared" si="11"/>
        <v>0</v>
      </c>
      <c r="BZ12" s="1">
        <f t="shared" si="11"/>
        <v>0</v>
      </c>
      <c r="CA12" s="1">
        <f t="shared" si="11"/>
        <v>0</v>
      </c>
      <c r="CB12" s="1">
        <f t="shared" si="11"/>
        <v>0</v>
      </c>
      <c r="CC12" s="1">
        <f t="shared" si="11"/>
        <v>0</v>
      </c>
      <c r="CD12" s="1">
        <f t="shared" si="11"/>
        <v>0</v>
      </c>
      <c r="CE12" s="1">
        <f t="shared" si="11"/>
        <v>0</v>
      </c>
      <c r="CF12" s="1">
        <f t="shared" si="11"/>
        <v>0</v>
      </c>
      <c r="CG12" s="1">
        <f t="shared" si="11"/>
        <v>0</v>
      </c>
      <c r="CH12" s="1">
        <f t="shared" si="11"/>
        <v>0</v>
      </c>
      <c r="CI12" s="1">
        <f t="shared" si="11"/>
        <v>0</v>
      </c>
      <c r="CJ12" s="1">
        <f t="shared" si="11"/>
        <v>0</v>
      </c>
      <c r="CK12" s="1">
        <f t="shared" si="11"/>
        <v>0</v>
      </c>
      <c r="CL12" s="1">
        <f t="shared" si="11"/>
        <v>0</v>
      </c>
      <c r="CM12" s="1">
        <f t="shared" si="11"/>
        <v>0</v>
      </c>
      <c r="CN12" s="1">
        <f t="shared" si="12"/>
        <v>0</v>
      </c>
      <c r="CO12" s="1">
        <f t="shared" si="12"/>
        <v>0</v>
      </c>
      <c r="CP12" s="1">
        <f t="shared" si="12"/>
        <v>0</v>
      </c>
      <c r="CQ12" s="1">
        <f t="shared" si="12"/>
        <v>0</v>
      </c>
      <c r="CR12" s="1">
        <f t="shared" si="12"/>
        <v>0</v>
      </c>
      <c r="CS12" s="1">
        <f t="shared" si="12"/>
        <v>0</v>
      </c>
      <c r="CT12" s="1">
        <f t="shared" si="12"/>
        <v>0</v>
      </c>
      <c r="CU12" s="1">
        <f t="shared" si="12"/>
        <v>0</v>
      </c>
      <c r="CV12" s="1">
        <f t="shared" si="12"/>
        <v>0</v>
      </c>
      <c r="CW12" s="1">
        <f t="shared" si="12"/>
        <v>0</v>
      </c>
      <c r="CX12" s="1">
        <f t="shared" si="12"/>
        <v>0</v>
      </c>
      <c r="CY12" s="1">
        <f t="shared" si="12"/>
        <v>0</v>
      </c>
      <c r="CZ12" s="1">
        <f t="shared" si="12"/>
        <v>0</v>
      </c>
      <c r="DA12" s="1">
        <f t="shared" si="12"/>
        <v>0</v>
      </c>
      <c r="DB12" s="1">
        <f t="shared" si="12"/>
        <v>0</v>
      </c>
      <c r="DC12" s="1">
        <f t="shared" si="12"/>
        <v>0</v>
      </c>
      <c r="DD12" s="1">
        <f t="shared" si="13"/>
        <v>0</v>
      </c>
    </row>
    <row r="13" spans="1:112" x14ac:dyDescent="0.2">
      <c r="A13">
        <v>40</v>
      </c>
      <c r="B13" s="1">
        <f t="shared" si="14"/>
        <v>5.4202707297103665E-5</v>
      </c>
      <c r="C13" s="3">
        <f t="shared" si="2"/>
        <v>1.3595922105695153E-6</v>
      </c>
      <c r="D13" s="5">
        <f t="shared" si="3"/>
        <v>4.837940011088036</v>
      </c>
      <c r="F13" s="1">
        <f t="shared" si="4"/>
        <v>5.4202707297103665E-5</v>
      </c>
      <c r="G13" s="4">
        <f t="shared" si="5"/>
        <v>2.2810266305173057</v>
      </c>
      <c r="H13" s="4">
        <f t="shared" si="5"/>
        <v>2.0405082651615607</v>
      </c>
      <c r="I13" s="4">
        <f t="shared" si="5"/>
        <v>1.8458737402037309</v>
      </c>
      <c r="J13" s="4">
        <f t="shared" si="5"/>
        <v>1.685136466439894</v>
      </c>
      <c r="K13" s="4">
        <f t="shared" si="5"/>
        <v>1.5501505425861186</v>
      </c>
      <c r="L13" s="4">
        <f t="shared" si="5"/>
        <v>1.4351865686142051</v>
      </c>
      <c r="M13" s="4">
        <f t="shared" si="5"/>
        <v>1.3360974370990553</v>
      </c>
      <c r="N13" s="4">
        <f t="shared" si="5"/>
        <v>1.2498073820257718</v>
      </c>
      <c r="O13" s="4">
        <f t="shared" si="5"/>
        <v>1.1739870106997468</v>
      </c>
      <c r="P13" s="4">
        <f t="shared" si="5"/>
        <v>1.1068398565623043</v>
      </c>
      <c r="Q13" s="4">
        <f t="shared" si="5"/>
        <v>0</v>
      </c>
      <c r="R13" s="4">
        <f t="shared" si="5"/>
        <v>0</v>
      </c>
      <c r="S13" s="4">
        <f t="shared" si="5"/>
        <v>0</v>
      </c>
      <c r="T13" s="4">
        <f t="shared" si="5"/>
        <v>0</v>
      </c>
      <c r="U13" s="4">
        <f t="shared" si="5"/>
        <v>0</v>
      </c>
      <c r="V13" s="4">
        <f t="shared" si="5"/>
        <v>0</v>
      </c>
      <c r="W13" s="4">
        <f t="shared" si="6"/>
        <v>0</v>
      </c>
      <c r="X13" s="4">
        <f t="shared" si="6"/>
        <v>0</v>
      </c>
      <c r="Y13" s="4">
        <f t="shared" si="6"/>
        <v>0</v>
      </c>
      <c r="Z13" s="4">
        <f t="shared" si="6"/>
        <v>0</v>
      </c>
      <c r="AA13" s="4">
        <f t="shared" si="6"/>
        <v>0</v>
      </c>
      <c r="AB13" s="4">
        <f t="shared" si="6"/>
        <v>0</v>
      </c>
      <c r="AC13" s="4">
        <f t="shared" si="6"/>
        <v>0</v>
      </c>
      <c r="AD13" s="4">
        <f t="shared" si="6"/>
        <v>0</v>
      </c>
      <c r="AE13" s="4">
        <f t="shared" si="6"/>
        <v>0</v>
      </c>
      <c r="AF13" s="4">
        <f t="shared" si="6"/>
        <v>0</v>
      </c>
      <c r="AG13" s="4">
        <f t="shared" si="6"/>
        <v>0</v>
      </c>
      <c r="AH13" s="4">
        <f t="shared" si="6"/>
        <v>0</v>
      </c>
      <c r="AI13" s="4">
        <f t="shared" si="6"/>
        <v>0</v>
      </c>
      <c r="AJ13" s="4">
        <f t="shared" si="6"/>
        <v>0</v>
      </c>
      <c r="AK13" s="4">
        <f t="shared" si="6"/>
        <v>0</v>
      </c>
      <c r="AL13" s="4">
        <f t="shared" si="6"/>
        <v>0</v>
      </c>
      <c r="AM13" s="4">
        <f t="shared" si="7"/>
        <v>0</v>
      </c>
      <c r="AN13" s="4">
        <f t="shared" si="7"/>
        <v>0</v>
      </c>
      <c r="AO13" s="4">
        <f t="shared" si="7"/>
        <v>0</v>
      </c>
      <c r="AP13" s="4">
        <f t="shared" si="7"/>
        <v>0</v>
      </c>
      <c r="AQ13" s="4">
        <f t="shared" si="7"/>
        <v>0</v>
      </c>
      <c r="AR13" s="4">
        <f t="shared" si="7"/>
        <v>0</v>
      </c>
      <c r="AS13" s="4">
        <f t="shared" si="7"/>
        <v>0</v>
      </c>
      <c r="AT13" s="4">
        <f t="shared" si="7"/>
        <v>0</v>
      </c>
      <c r="AU13" s="4">
        <f t="shared" si="7"/>
        <v>0</v>
      </c>
      <c r="AV13" s="4">
        <f t="shared" si="7"/>
        <v>0</v>
      </c>
      <c r="AW13" s="4">
        <f t="shared" si="7"/>
        <v>0</v>
      </c>
      <c r="AX13" s="4">
        <f t="shared" si="7"/>
        <v>0</v>
      </c>
      <c r="AY13" s="4">
        <f t="shared" si="8"/>
        <v>0</v>
      </c>
      <c r="AZ13" s="4">
        <f t="shared" si="8"/>
        <v>0</v>
      </c>
      <c r="BA13" s="4">
        <f t="shared" si="8"/>
        <v>0</v>
      </c>
      <c r="BB13" s="4">
        <f t="shared" si="8"/>
        <v>0</v>
      </c>
      <c r="BC13" s="4">
        <f t="shared" si="8"/>
        <v>0</v>
      </c>
      <c r="BD13" s="4">
        <f t="shared" si="8"/>
        <v>0</v>
      </c>
      <c r="BF13" s="2">
        <f t="shared" si="9"/>
        <v>40</v>
      </c>
      <c r="BG13" s="1">
        <f t="shared" si="15"/>
        <v>2.6613934262365561E-5</v>
      </c>
      <c r="BH13" s="1">
        <f t="shared" si="10"/>
        <v>2.5295539368215748E-5</v>
      </c>
      <c r="BI13" s="1">
        <f t="shared" si="10"/>
        <v>2.4042454814122668E-5</v>
      </c>
      <c r="BJ13" s="1">
        <f t="shared" si="10"/>
        <v>2.171943568322884E-5</v>
      </c>
      <c r="BK13" s="1">
        <f t="shared" si="10"/>
        <v>2.0643503322898512E-5</v>
      </c>
      <c r="BL13" s="1">
        <f t="shared" si="10"/>
        <v>1.9620870249938706E-5</v>
      </c>
      <c r="BM13" s="1">
        <f t="shared" si="10"/>
        <v>1.864889613663093E-5</v>
      </c>
      <c r="BN13" s="1">
        <f t="shared" si="10"/>
        <v>1.7725071451197932E-5</v>
      </c>
      <c r="BO13" s="1">
        <f t="shared" si="10"/>
        <v>1.6847010978464875E-5</v>
      </c>
      <c r="BP13" s="1">
        <f t="shared" si="10"/>
        <v>1.6847010978464875E-5</v>
      </c>
      <c r="BQ13" s="1">
        <f t="shared" si="10"/>
        <v>0</v>
      </c>
      <c r="BR13" s="1">
        <f t="shared" si="10"/>
        <v>0</v>
      </c>
      <c r="BS13" s="1">
        <f t="shared" si="10"/>
        <v>0</v>
      </c>
      <c r="BT13" s="1">
        <f t="shared" si="10"/>
        <v>0</v>
      </c>
      <c r="BU13" s="1">
        <f t="shared" si="10"/>
        <v>0</v>
      </c>
      <c r="BV13" s="1">
        <f t="shared" si="10"/>
        <v>0</v>
      </c>
      <c r="BW13" s="1">
        <f t="shared" si="10"/>
        <v>0</v>
      </c>
      <c r="BX13" s="1">
        <f t="shared" si="11"/>
        <v>0</v>
      </c>
      <c r="BY13" s="1">
        <f t="shared" si="11"/>
        <v>0</v>
      </c>
      <c r="BZ13" s="1">
        <f t="shared" si="11"/>
        <v>0</v>
      </c>
      <c r="CA13" s="1">
        <f t="shared" si="11"/>
        <v>0</v>
      </c>
      <c r="CB13" s="1">
        <f t="shared" si="11"/>
        <v>0</v>
      </c>
      <c r="CC13" s="1">
        <f t="shared" si="11"/>
        <v>0</v>
      </c>
      <c r="CD13" s="1">
        <f t="shared" si="11"/>
        <v>0</v>
      </c>
      <c r="CE13" s="1">
        <f t="shared" si="11"/>
        <v>0</v>
      </c>
      <c r="CF13" s="1">
        <f t="shared" si="11"/>
        <v>0</v>
      </c>
      <c r="CG13" s="1">
        <f t="shared" si="11"/>
        <v>0</v>
      </c>
      <c r="CH13" s="1">
        <f t="shared" si="11"/>
        <v>0</v>
      </c>
      <c r="CI13" s="1">
        <f t="shared" si="11"/>
        <v>0</v>
      </c>
      <c r="CJ13" s="1">
        <f t="shared" si="11"/>
        <v>0</v>
      </c>
      <c r="CK13" s="1">
        <f t="shared" si="11"/>
        <v>0</v>
      </c>
      <c r="CL13" s="1">
        <f t="shared" si="11"/>
        <v>0</v>
      </c>
      <c r="CM13" s="1">
        <f t="shared" si="11"/>
        <v>0</v>
      </c>
      <c r="CN13" s="1">
        <f t="shared" si="12"/>
        <v>0</v>
      </c>
      <c r="CO13" s="1">
        <f t="shared" si="12"/>
        <v>0</v>
      </c>
      <c r="CP13" s="1">
        <f t="shared" si="12"/>
        <v>0</v>
      </c>
      <c r="CQ13" s="1">
        <f t="shared" si="12"/>
        <v>0</v>
      </c>
      <c r="CR13" s="1">
        <f t="shared" si="12"/>
        <v>0</v>
      </c>
      <c r="CS13" s="1">
        <f t="shared" si="12"/>
        <v>0</v>
      </c>
      <c r="CT13" s="1">
        <f t="shared" si="12"/>
        <v>0</v>
      </c>
      <c r="CU13" s="1">
        <f t="shared" si="12"/>
        <v>0</v>
      </c>
      <c r="CV13" s="1">
        <f t="shared" si="12"/>
        <v>0</v>
      </c>
      <c r="CW13" s="1">
        <f t="shared" si="12"/>
        <v>0</v>
      </c>
      <c r="CX13" s="1">
        <f t="shared" si="12"/>
        <v>0</v>
      </c>
      <c r="CY13" s="1">
        <f t="shared" si="12"/>
        <v>0</v>
      </c>
      <c r="CZ13" s="1">
        <f t="shared" si="12"/>
        <v>0</v>
      </c>
      <c r="DA13" s="1">
        <f t="shared" si="12"/>
        <v>0</v>
      </c>
      <c r="DB13" s="1">
        <f t="shared" si="12"/>
        <v>0</v>
      </c>
      <c r="DC13" s="1">
        <f t="shared" si="12"/>
        <v>0</v>
      </c>
      <c r="DD13" s="1">
        <f t="shared" si="13"/>
        <v>0</v>
      </c>
    </row>
    <row r="14" spans="1:112" x14ac:dyDescent="0.2">
      <c r="A14">
        <v>50</v>
      </c>
      <c r="B14" s="1">
        <f t="shared" si="14"/>
        <v>5.284311508653415E-5</v>
      </c>
      <c r="C14" s="3">
        <f t="shared" si="2"/>
        <v>1.3254889144202322E-6</v>
      </c>
      <c r="D14" s="5">
        <f t="shared" si="3"/>
        <v>5.2895729105623053</v>
      </c>
      <c r="F14" s="1">
        <f t="shared" si="4"/>
        <v>5.284311508653415E-5</v>
      </c>
      <c r="G14" s="4">
        <f t="shared" si="5"/>
        <v>3.1009493482334243</v>
      </c>
      <c r="H14" s="4">
        <f t="shared" si="5"/>
        <v>2.7755255632885656</v>
      </c>
      <c r="I14" s="4">
        <f t="shared" si="5"/>
        <v>2.511916785461513</v>
      </c>
      <c r="J14" s="4">
        <f t="shared" si="5"/>
        <v>2.2940378635393914</v>
      </c>
      <c r="K14" s="4">
        <f t="shared" si="5"/>
        <v>2.1109389982270339</v>
      </c>
      <c r="L14" s="4">
        <f t="shared" si="5"/>
        <v>1.954907830945388</v>
      </c>
      <c r="M14" s="4">
        <f t="shared" si="5"/>
        <v>1.8203553099500378</v>
      </c>
      <c r="N14" s="4">
        <f t="shared" si="5"/>
        <v>1.7031320298655177</v>
      </c>
      <c r="O14" s="4">
        <f t="shared" si="5"/>
        <v>1.6000927394931554</v>
      </c>
      <c r="P14" s="4">
        <f t="shared" si="5"/>
        <v>1.5088099145695322</v>
      </c>
      <c r="Q14" s="4">
        <f t="shared" si="5"/>
        <v>0</v>
      </c>
      <c r="R14" s="4">
        <f t="shared" si="5"/>
        <v>0</v>
      </c>
      <c r="S14" s="4">
        <f t="shared" si="5"/>
        <v>0</v>
      </c>
      <c r="T14" s="4">
        <f t="shared" si="5"/>
        <v>0</v>
      </c>
      <c r="U14" s="4">
        <f t="shared" si="5"/>
        <v>0</v>
      </c>
      <c r="V14" s="4">
        <f t="shared" si="5"/>
        <v>0</v>
      </c>
      <c r="W14" s="4">
        <f t="shared" si="6"/>
        <v>0</v>
      </c>
      <c r="X14" s="4">
        <f t="shared" si="6"/>
        <v>0</v>
      </c>
      <c r="Y14" s="4">
        <f t="shared" si="6"/>
        <v>0</v>
      </c>
      <c r="Z14" s="4">
        <f t="shared" si="6"/>
        <v>0</v>
      </c>
      <c r="AA14" s="4">
        <f t="shared" si="6"/>
        <v>0</v>
      </c>
      <c r="AB14" s="4">
        <f t="shared" si="6"/>
        <v>0</v>
      </c>
      <c r="AC14" s="4">
        <f t="shared" si="6"/>
        <v>0</v>
      </c>
      <c r="AD14" s="4">
        <f t="shared" si="6"/>
        <v>0</v>
      </c>
      <c r="AE14" s="4">
        <f t="shared" si="6"/>
        <v>0</v>
      </c>
      <c r="AF14" s="4">
        <f t="shared" si="6"/>
        <v>0</v>
      </c>
      <c r="AG14" s="4">
        <f t="shared" si="6"/>
        <v>0</v>
      </c>
      <c r="AH14" s="4">
        <f t="shared" si="6"/>
        <v>0</v>
      </c>
      <c r="AI14" s="4">
        <f t="shared" si="6"/>
        <v>0</v>
      </c>
      <c r="AJ14" s="4">
        <f t="shared" si="6"/>
        <v>0</v>
      </c>
      <c r="AK14" s="4">
        <f t="shared" si="6"/>
        <v>0</v>
      </c>
      <c r="AL14" s="4">
        <f t="shared" si="6"/>
        <v>0</v>
      </c>
      <c r="AM14" s="4">
        <f t="shared" si="7"/>
        <v>0</v>
      </c>
      <c r="AN14" s="4">
        <f t="shared" si="7"/>
        <v>0</v>
      </c>
      <c r="AO14" s="4">
        <f t="shared" si="7"/>
        <v>0</v>
      </c>
      <c r="AP14" s="4">
        <f t="shared" si="7"/>
        <v>0</v>
      </c>
      <c r="AQ14" s="4">
        <f t="shared" si="7"/>
        <v>0</v>
      </c>
      <c r="AR14" s="4">
        <f t="shared" si="7"/>
        <v>0</v>
      </c>
      <c r="AS14" s="4">
        <f t="shared" si="7"/>
        <v>0</v>
      </c>
      <c r="AT14" s="4">
        <f t="shared" si="7"/>
        <v>0</v>
      </c>
      <c r="AU14" s="4">
        <f t="shared" si="7"/>
        <v>0</v>
      </c>
      <c r="AV14" s="4">
        <f t="shared" si="7"/>
        <v>0</v>
      </c>
      <c r="AW14" s="4">
        <f t="shared" si="7"/>
        <v>0</v>
      </c>
      <c r="AX14" s="4">
        <f t="shared" si="7"/>
        <v>0</v>
      </c>
      <c r="AY14" s="4">
        <f t="shared" si="8"/>
        <v>0</v>
      </c>
      <c r="AZ14" s="4">
        <f t="shared" si="8"/>
        <v>0</v>
      </c>
      <c r="BA14" s="4">
        <f t="shared" si="8"/>
        <v>0</v>
      </c>
      <c r="BB14" s="4">
        <f t="shared" si="8"/>
        <v>0</v>
      </c>
      <c r="BC14" s="4">
        <f t="shared" si="8"/>
        <v>0</v>
      </c>
      <c r="BD14" s="4">
        <f t="shared" si="8"/>
        <v>0</v>
      </c>
      <c r="BF14" s="2">
        <f t="shared" si="9"/>
        <v>50</v>
      </c>
      <c r="BG14" s="1">
        <f t="shared" si="15"/>
        <v>2.2851445271629364E-5</v>
      </c>
      <c r="BH14" s="1">
        <f t="shared" si="10"/>
        <v>2.171943568322884E-5</v>
      </c>
      <c r="BI14" s="1">
        <f t="shared" si="10"/>
        <v>1.9620870249938706E-5</v>
      </c>
      <c r="BJ14" s="1">
        <f t="shared" si="10"/>
        <v>1.864889613663093E-5</v>
      </c>
      <c r="BK14" s="1">
        <f t="shared" si="10"/>
        <v>1.6847010978464875E-5</v>
      </c>
      <c r="BL14" s="1">
        <f t="shared" si="10"/>
        <v>1.6847010978464875E-5</v>
      </c>
      <c r="BM14" s="1">
        <f t="shared" si="10"/>
        <v>1.4837475666652072E-5</v>
      </c>
      <c r="BN14" s="1">
        <f t="shared" si="10"/>
        <v>1.4837475666652072E-5</v>
      </c>
      <c r="BO14" s="1">
        <f t="shared" si="10"/>
        <v>1.3067640570775765E-5</v>
      </c>
      <c r="BP14" s="1">
        <f t="shared" si="10"/>
        <v>1.3067640570775765E-5</v>
      </c>
      <c r="BQ14" s="1">
        <f t="shared" si="10"/>
        <v>0</v>
      </c>
      <c r="BR14" s="1">
        <f t="shared" si="10"/>
        <v>0</v>
      </c>
      <c r="BS14" s="1">
        <f t="shared" si="10"/>
        <v>0</v>
      </c>
      <c r="BT14" s="1">
        <f t="shared" si="10"/>
        <v>0</v>
      </c>
      <c r="BU14" s="1">
        <f t="shared" si="10"/>
        <v>0</v>
      </c>
      <c r="BV14" s="1">
        <f t="shared" si="10"/>
        <v>0</v>
      </c>
      <c r="BW14" s="1">
        <f t="shared" si="10"/>
        <v>0</v>
      </c>
      <c r="BX14" s="1">
        <f t="shared" si="11"/>
        <v>0</v>
      </c>
      <c r="BY14" s="1">
        <f t="shared" si="11"/>
        <v>0</v>
      </c>
      <c r="BZ14" s="1">
        <f t="shared" si="11"/>
        <v>0</v>
      </c>
      <c r="CA14" s="1">
        <f t="shared" si="11"/>
        <v>0</v>
      </c>
      <c r="CB14" s="1">
        <f t="shared" si="11"/>
        <v>0</v>
      </c>
      <c r="CC14" s="1">
        <f t="shared" si="11"/>
        <v>0</v>
      </c>
      <c r="CD14" s="1">
        <f t="shared" si="11"/>
        <v>0</v>
      </c>
      <c r="CE14" s="1">
        <f t="shared" si="11"/>
        <v>0</v>
      </c>
      <c r="CF14" s="1">
        <f t="shared" si="11"/>
        <v>0</v>
      </c>
      <c r="CG14" s="1">
        <f t="shared" si="11"/>
        <v>0</v>
      </c>
      <c r="CH14" s="1">
        <f t="shared" si="11"/>
        <v>0</v>
      </c>
      <c r="CI14" s="1">
        <f t="shared" si="11"/>
        <v>0</v>
      </c>
      <c r="CJ14" s="1">
        <f t="shared" si="11"/>
        <v>0</v>
      </c>
      <c r="CK14" s="1">
        <f t="shared" si="11"/>
        <v>0</v>
      </c>
      <c r="CL14" s="1">
        <f t="shared" si="11"/>
        <v>0</v>
      </c>
      <c r="CM14" s="1">
        <f t="shared" si="11"/>
        <v>0</v>
      </c>
      <c r="CN14" s="1">
        <f t="shared" si="12"/>
        <v>0</v>
      </c>
      <c r="CO14" s="1">
        <f t="shared" si="12"/>
        <v>0</v>
      </c>
      <c r="CP14" s="1">
        <f t="shared" si="12"/>
        <v>0</v>
      </c>
      <c r="CQ14" s="1">
        <f t="shared" si="12"/>
        <v>0</v>
      </c>
      <c r="CR14" s="1">
        <f t="shared" si="12"/>
        <v>0</v>
      </c>
      <c r="CS14" s="1">
        <f t="shared" si="12"/>
        <v>0</v>
      </c>
      <c r="CT14" s="1">
        <f t="shared" si="12"/>
        <v>0</v>
      </c>
      <c r="CU14" s="1">
        <f t="shared" si="12"/>
        <v>0</v>
      </c>
      <c r="CV14" s="1">
        <f t="shared" si="12"/>
        <v>0</v>
      </c>
      <c r="CW14" s="1">
        <f t="shared" si="12"/>
        <v>0</v>
      </c>
      <c r="CX14" s="1">
        <f t="shared" si="12"/>
        <v>0</v>
      </c>
      <c r="CY14" s="1">
        <f t="shared" si="12"/>
        <v>0</v>
      </c>
      <c r="CZ14" s="1">
        <f t="shared" si="12"/>
        <v>0</v>
      </c>
      <c r="DA14" s="1">
        <f t="shared" si="12"/>
        <v>0</v>
      </c>
      <c r="DB14" s="1">
        <f t="shared" si="12"/>
        <v>0</v>
      </c>
      <c r="DC14" s="1">
        <f t="shared" si="12"/>
        <v>0</v>
      </c>
      <c r="DD14" s="1">
        <f t="shared" si="13"/>
        <v>0</v>
      </c>
    </row>
    <row r="15" spans="1:112" x14ac:dyDescent="0.2">
      <c r="A15">
        <v>60</v>
      </c>
      <c r="B15" s="1">
        <f t="shared" si="14"/>
        <v>5.1517626172113917E-5</v>
      </c>
      <c r="C15" s="3">
        <f t="shared" si="2"/>
        <v>1.2922410474205498E-6</v>
      </c>
      <c r="D15" s="5">
        <f t="shared" si="3"/>
        <v>5.6897074794107727</v>
      </c>
      <c r="F15" s="1">
        <f t="shared" si="4"/>
        <v>5.1517626172113917E-5</v>
      </c>
      <c r="G15" s="4">
        <f t="shared" si="5"/>
        <v>3.9839376140556038</v>
      </c>
      <c r="H15" s="4">
        <f t="shared" si="5"/>
        <v>3.5675984153060605</v>
      </c>
      <c r="I15" s="4">
        <f t="shared" si="5"/>
        <v>3.2300444093021117</v>
      </c>
      <c r="J15" s="4">
        <f t="shared" si="5"/>
        <v>2.9508454658803767</v>
      </c>
      <c r="K15" s="4">
        <f t="shared" si="5"/>
        <v>2.7160732219904977</v>
      </c>
      <c r="L15" s="4">
        <f t="shared" si="5"/>
        <v>2.5159052599214049</v>
      </c>
      <c r="M15" s="4">
        <f t="shared" si="5"/>
        <v>2.343215966803224</v>
      </c>
      <c r="N15" s="4">
        <f t="shared" si="5"/>
        <v>2.1927104513944355</v>
      </c>
      <c r="O15" s="4">
        <f t="shared" si="5"/>
        <v>2.0603720892383603</v>
      </c>
      <c r="P15" s="4">
        <f t="shared" si="5"/>
        <v>1.9430987373273034</v>
      </c>
      <c r="Q15" s="4">
        <f t="shared" si="5"/>
        <v>0</v>
      </c>
      <c r="R15" s="4">
        <f t="shared" si="5"/>
        <v>0</v>
      </c>
      <c r="S15" s="4">
        <f t="shared" si="5"/>
        <v>0</v>
      </c>
      <c r="T15" s="4">
        <f t="shared" si="5"/>
        <v>0</v>
      </c>
      <c r="U15" s="4">
        <f t="shared" si="5"/>
        <v>0</v>
      </c>
      <c r="V15" s="4">
        <f t="shared" si="5"/>
        <v>0</v>
      </c>
      <c r="W15" s="4">
        <f t="shared" si="6"/>
        <v>0</v>
      </c>
      <c r="X15" s="4">
        <f t="shared" si="6"/>
        <v>0</v>
      </c>
      <c r="Y15" s="4">
        <f t="shared" si="6"/>
        <v>0</v>
      </c>
      <c r="Z15" s="4">
        <f t="shared" si="6"/>
        <v>0</v>
      </c>
      <c r="AA15" s="4">
        <f t="shared" si="6"/>
        <v>0</v>
      </c>
      <c r="AB15" s="4">
        <f t="shared" si="6"/>
        <v>0</v>
      </c>
      <c r="AC15" s="4">
        <f t="shared" si="6"/>
        <v>0</v>
      </c>
      <c r="AD15" s="4">
        <f t="shared" si="6"/>
        <v>0</v>
      </c>
      <c r="AE15" s="4">
        <f t="shared" si="6"/>
        <v>0</v>
      </c>
      <c r="AF15" s="4">
        <f t="shared" si="6"/>
        <v>0</v>
      </c>
      <c r="AG15" s="4">
        <f t="shared" si="6"/>
        <v>0</v>
      </c>
      <c r="AH15" s="4">
        <f t="shared" si="6"/>
        <v>0</v>
      </c>
      <c r="AI15" s="4">
        <f t="shared" si="6"/>
        <v>0</v>
      </c>
      <c r="AJ15" s="4">
        <f t="shared" si="6"/>
        <v>0</v>
      </c>
      <c r="AK15" s="4">
        <f t="shared" si="6"/>
        <v>0</v>
      </c>
      <c r="AL15" s="4">
        <f t="shared" si="6"/>
        <v>0</v>
      </c>
      <c r="AM15" s="4">
        <f t="shared" si="7"/>
        <v>0</v>
      </c>
      <c r="AN15" s="4">
        <f t="shared" si="7"/>
        <v>0</v>
      </c>
      <c r="AO15" s="4">
        <f t="shared" si="7"/>
        <v>0</v>
      </c>
      <c r="AP15" s="4">
        <f t="shared" si="7"/>
        <v>0</v>
      </c>
      <c r="AQ15" s="4">
        <f t="shared" si="7"/>
        <v>0</v>
      </c>
      <c r="AR15" s="4">
        <f t="shared" si="7"/>
        <v>0</v>
      </c>
      <c r="AS15" s="4">
        <f t="shared" si="7"/>
        <v>0</v>
      </c>
      <c r="AT15" s="4">
        <f t="shared" si="7"/>
        <v>0</v>
      </c>
      <c r="AU15" s="4">
        <f t="shared" si="7"/>
        <v>0</v>
      </c>
      <c r="AV15" s="4">
        <f t="shared" si="7"/>
        <v>0</v>
      </c>
      <c r="AW15" s="4">
        <f t="shared" si="7"/>
        <v>0</v>
      </c>
      <c r="AX15" s="4">
        <f t="shared" si="7"/>
        <v>0</v>
      </c>
      <c r="AY15" s="4">
        <f t="shared" si="8"/>
        <v>0</v>
      </c>
      <c r="AZ15" s="4">
        <f t="shared" si="8"/>
        <v>0</v>
      </c>
      <c r="BA15" s="4">
        <f t="shared" si="8"/>
        <v>0</v>
      </c>
      <c r="BB15" s="4">
        <f t="shared" si="8"/>
        <v>0</v>
      </c>
      <c r="BC15" s="4">
        <f t="shared" si="8"/>
        <v>0</v>
      </c>
      <c r="BD15" s="4">
        <f t="shared" si="8"/>
        <v>0</v>
      </c>
      <c r="BF15" s="2">
        <f t="shared" si="9"/>
        <v>60</v>
      </c>
      <c r="BG15" s="1">
        <f t="shared" si="15"/>
        <v>1.9620870249938706E-5</v>
      </c>
      <c r="BH15" s="1">
        <f t="shared" si="10"/>
        <v>1.864889613663093E-5</v>
      </c>
      <c r="BI15" s="1">
        <f t="shared" si="10"/>
        <v>1.6847010978464875E-5</v>
      </c>
      <c r="BJ15" s="1">
        <f t="shared" si="10"/>
        <v>1.6847010978464875E-5</v>
      </c>
      <c r="BK15" s="1">
        <f t="shared" si="10"/>
        <v>1.4837475666652072E-5</v>
      </c>
      <c r="BL15" s="1">
        <f t="shared" si="10"/>
        <v>1.3067640570775765E-5</v>
      </c>
      <c r="BM15" s="1">
        <f t="shared" si="10"/>
        <v>1.3067640570775765E-5</v>
      </c>
      <c r="BN15" s="1">
        <f t="shared" si="10"/>
        <v>1.1508913909849451E-5</v>
      </c>
      <c r="BO15" s="1">
        <f t="shared" si="10"/>
        <v>1.1508913909849451E-5</v>
      </c>
      <c r="BP15" s="1">
        <f t="shared" si="10"/>
        <v>1.0136114370986476E-5</v>
      </c>
      <c r="BQ15" s="1">
        <f t="shared" si="10"/>
        <v>0</v>
      </c>
      <c r="BR15" s="1">
        <f t="shared" si="10"/>
        <v>0</v>
      </c>
      <c r="BS15" s="1">
        <f t="shared" si="10"/>
        <v>0</v>
      </c>
      <c r="BT15" s="1">
        <f t="shared" si="10"/>
        <v>0</v>
      </c>
      <c r="BU15" s="1">
        <f t="shared" si="10"/>
        <v>0</v>
      </c>
      <c r="BV15" s="1">
        <f t="shared" si="10"/>
        <v>0</v>
      </c>
      <c r="BW15" s="1">
        <f t="shared" si="10"/>
        <v>0</v>
      </c>
      <c r="BX15" s="1">
        <f t="shared" si="11"/>
        <v>0</v>
      </c>
      <c r="BY15" s="1">
        <f t="shared" si="11"/>
        <v>0</v>
      </c>
      <c r="BZ15" s="1">
        <f t="shared" si="11"/>
        <v>0</v>
      </c>
      <c r="CA15" s="1">
        <f t="shared" si="11"/>
        <v>0</v>
      </c>
      <c r="CB15" s="1">
        <f t="shared" si="11"/>
        <v>0</v>
      </c>
      <c r="CC15" s="1">
        <f t="shared" si="11"/>
        <v>0</v>
      </c>
      <c r="CD15" s="1">
        <f t="shared" si="11"/>
        <v>0</v>
      </c>
      <c r="CE15" s="1">
        <f t="shared" si="11"/>
        <v>0</v>
      </c>
      <c r="CF15" s="1">
        <f t="shared" si="11"/>
        <v>0</v>
      </c>
      <c r="CG15" s="1">
        <f t="shared" si="11"/>
        <v>0</v>
      </c>
      <c r="CH15" s="1">
        <f t="shared" si="11"/>
        <v>0</v>
      </c>
      <c r="CI15" s="1">
        <f t="shared" si="11"/>
        <v>0</v>
      </c>
      <c r="CJ15" s="1">
        <f t="shared" si="11"/>
        <v>0</v>
      </c>
      <c r="CK15" s="1">
        <f t="shared" si="11"/>
        <v>0</v>
      </c>
      <c r="CL15" s="1">
        <f t="shared" si="11"/>
        <v>0</v>
      </c>
      <c r="CM15" s="1">
        <f t="shared" si="11"/>
        <v>0</v>
      </c>
      <c r="CN15" s="1">
        <f t="shared" si="12"/>
        <v>0</v>
      </c>
      <c r="CO15" s="1">
        <f t="shared" si="12"/>
        <v>0</v>
      </c>
      <c r="CP15" s="1">
        <f t="shared" si="12"/>
        <v>0</v>
      </c>
      <c r="CQ15" s="1">
        <f t="shared" si="12"/>
        <v>0</v>
      </c>
      <c r="CR15" s="1">
        <f t="shared" si="12"/>
        <v>0</v>
      </c>
      <c r="CS15" s="1">
        <f t="shared" si="12"/>
        <v>0</v>
      </c>
      <c r="CT15" s="1">
        <f t="shared" si="12"/>
        <v>0</v>
      </c>
      <c r="CU15" s="1">
        <f t="shared" si="12"/>
        <v>0</v>
      </c>
      <c r="CV15" s="1">
        <f t="shared" si="12"/>
        <v>0</v>
      </c>
      <c r="CW15" s="1">
        <f t="shared" si="12"/>
        <v>0</v>
      </c>
      <c r="CX15" s="1">
        <f t="shared" si="12"/>
        <v>0</v>
      </c>
      <c r="CY15" s="1">
        <f t="shared" si="12"/>
        <v>0</v>
      </c>
      <c r="CZ15" s="1">
        <f t="shared" si="12"/>
        <v>0</v>
      </c>
      <c r="DA15" s="1">
        <f t="shared" si="12"/>
        <v>0</v>
      </c>
      <c r="DB15" s="1">
        <f t="shared" si="12"/>
        <v>0</v>
      </c>
      <c r="DC15" s="1">
        <f t="shared" si="12"/>
        <v>0</v>
      </c>
      <c r="DD15" s="1">
        <f t="shared" si="13"/>
        <v>0</v>
      </c>
    </row>
    <row r="16" spans="1:112" x14ac:dyDescent="0.2">
      <c r="A16">
        <v>70</v>
      </c>
      <c r="B16" s="1">
        <f t="shared" si="14"/>
        <v>5.0225385124693368E-5</v>
      </c>
      <c r="C16" s="3">
        <f t="shared" si="2"/>
        <v>1.2598271524351712E-6</v>
      </c>
      <c r="D16" s="5">
        <f t="shared" si="3"/>
        <v>6.0515409562671181</v>
      </c>
      <c r="F16" s="1">
        <f t="shared" si="4"/>
        <v>5.0225385124693368E-5</v>
      </c>
      <c r="G16" s="4">
        <f t="shared" si="5"/>
        <v>4.9227226175296863</v>
      </c>
      <c r="H16" s="4">
        <f t="shared" si="5"/>
        <v>4.4102141696151405</v>
      </c>
      <c r="I16" s="4">
        <f t="shared" si="5"/>
        <v>3.9943584328810746</v>
      </c>
      <c r="J16" s="4">
        <f t="shared" si="5"/>
        <v>3.6501701179334685</v>
      </c>
      <c r="K16" s="4">
        <f t="shared" si="5"/>
        <v>3.3605925300482178</v>
      </c>
      <c r="L16" s="4">
        <f t="shared" si="5"/>
        <v>3.1135837489327982</v>
      </c>
      <c r="M16" s="4">
        <f t="shared" si="5"/>
        <v>2.9003998462812599</v>
      </c>
      <c r="N16" s="4">
        <f t="shared" si="5"/>
        <v>2.7145381861843512</v>
      </c>
      <c r="O16" s="4">
        <f t="shared" si="5"/>
        <v>2.5510625465996943</v>
      </c>
      <c r="P16" s="4">
        <f t="shared" si="5"/>
        <v>2.4061582456919623</v>
      </c>
      <c r="Q16" s="4">
        <f t="shared" si="5"/>
        <v>0</v>
      </c>
      <c r="R16" s="4">
        <f t="shared" si="5"/>
        <v>0</v>
      </c>
      <c r="S16" s="4">
        <f t="shared" si="5"/>
        <v>0</v>
      </c>
      <c r="T16" s="4">
        <f t="shared" si="5"/>
        <v>0</v>
      </c>
      <c r="U16" s="4">
        <f t="shared" si="5"/>
        <v>0</v>
      </c>
      <c r="V16" s="4">
        <f t="shared" si="5"/>
        <v>0</v>
      </c>
      <c r="W16" s="4">
        <f t="shared" si="6"/>
        <v>0</v>
      </c>
      <c r="X16" s="4">
        <f t="shared" si="6"/>
        <v>0</v>
      </c>
      <c r="Y16" s="4">
        <f t="shared" si="6"/>
        <v>0</v>
      </c>
      <c r="Z16" s="4">
        <f t="shared" si="6"/>
        <v>0</v>
      </c>
      <c r="AA16" s="4">
        <f t="shared" si="6"/>
        <v>0</v>
      </c>
      <c r="AB16" s="4">
        <f t="shared" si="6"/>
        <v>0</v>
      </c>
      <c r="AC16" s="4">
        <f t="shared" si="6"/>
        <v>0</v>
      </c>
      <c r="AD16" s="4">
        <f t="shared" si="6"/>
        <v>0</v>
      </c>
      <c r="AE16" s="4">
        <f t="shared" si="6"/>
        <v>0</v>
      </c>
      <c r="AF16" s="4">
        <f t="shared" si="6"/>
        <v>0</v>
      </c>
      <c r="AG16" s="4">
        <f t="shared" si="6"/>
        <v>0</v>
      </c>
      <c r="AH16" s="4">
        <f t="shared" si="6"/>
        <v>0</v>
      </c>
      <c r="AI16" s="4">
        <f t="shared" si="6"/>
        <v>0</v>
      </c>
      <c r="AJ16" s="4">
        <f t="shared" si="6"/>
        <v>0</v>
      </c>
      <c r="AK16" s="4">
        <f t="shared" si="6"/>
        <v>0</v>
      </c>
      <c r="AL16" s="4">
        <f t="shared" si="6"/>
        <v>0</v>
      </c>
      <c r="AM16" s="4">
        <f t="shared" si="7"/>
        <v>0</v>
      </c>
      <c r="AN16" s="4">
        <f t="shared" si="7"/>
        <v>0</v>
      </c>
      <c r="AO16" s="4">
        <f t="shared" si="7"/>
        <v>0</v>
      </c>
      <c r="AP16" s="4">
        <f t="shared" si="7"/>
        <v>0</v>
      </c>
      <c r="AQ16" s="4">
        <f t="shared" si="7"/>
        <v>0</v>
      </c>
      <c r="AR16" s="4">
        <f t="shared" si="7"/>
        <v>0</v>
      </c>
      <c r="AS16" s="4">
        <f t="shared" si="7"/>
        <v>0</v>
      </c>
      <c r="AT16" s="4">
        <f t="shared" si="7"/>
        <v>0</v>
      </c>
      <c r="AU16" s="4">
        <f t="shared" si="7"/>
        <v>0</v>
      </c>
      <c r="AV16" s="4">
        <f t="shared" si="7"/>
        <v>0</v>
      </c>
      <c r="AW16" s="4">
        <f t="shared" si="7"/>
        <v>0</v>
      </c>
      <c r="AX16" s="4">
        <f t="shared" si="7"/>
        <v>0</v>
      </c>
      <c r="AY16" s="4">
        <f t="shared" si="8"/>
        <v>0</v>
      </c>
      <c r="AZ16" s="4">
        <f t="shared" si="8"/>
        <v>0</v>
      </c>
      <c r="BA16" s="4">
        <f t="shared" si="8"/>
        <v>0</v>
      </c>
      <c r="BB16" s="4">
        <f t="shared" si="8"/>
        <v>0</v>
      </c>
      <c r="BC16" s="4">
        <f t="shared" si="8"/>
        <v>0</v>
      </c>
      <c r="BD16" s="4">
        <f t="shared" si="8"/>
        <v>0</v>
      </c>
      <c r="BF16" s="2">
        <f t="shared" si="9"/>
        <v>70</v>
      </c>
      <c r="BG16" s="1">
        <f t="shared" si="15"/>
        <v>1.7725071451197932E-5</v>
      </c>
      <c r="BH16" s="1">
        <f t="shared" si="10"/>
        <v>1.6847010978464875E-5</v>
      </c>
      <c r="BI16" s="1">
        <f t="shared" si="10"/>
        <v>1.4837475666652072E-5</v>
      </c>
      <c r="BJ16" s="1">
        <f t="shared" si="10"/>
        <v>1.3067640570775765E-5</v>
      </c>
      <c r="BK16" s="1">
        <f t="shared" si="10"/>
        <v>1.3067640570775765E-5</v>
      </c>
      <c r="BL16" s="1">
        <f t="shared" si="10"/>
        <v>1.1508913909849451E-5</v>
      </c>
      <c r="BM16" s="1">
        <f t="shared" si="10"/>
        <v>1.0136114370986476E-5</v>
      </c>
      <c r="BN16" s="1">
        <f t="shared" si="10"/>
        <v>1.0136114370986476E-5</v>
      </c>
      <c r="BO16" s="1">
        <f t="shared" si="10"/>
        <v>8.9270643039385229E-6</v>
      </c>
      <c r="BP16" s="1">
        <f t="shared" si="10"/>
        <v>7.8622314399652424E-6</v>
      </c>
      <c r="BQ16" s="1">
        <f t="shared" si="10"/>
        <v>0</v>
      </c>
      <c r="BR16" s="1">
        <f t="shared" si="10"/>
        <v>0</v>
      </c>
      <c r="BS16" s="1">
        <f t="shared" si="10"/>
        <v>0</v>
      </c>
      <c r="BT16" s="1">
        <f t="shared" si="10"/>
        <v>0</v>
      </c>
      <c r="BU16" s="1">
        <f t="shared" si="10"/>
        <v>0</v>
      </c>
      <c r="BV16" s="1">
        <f t="shared" si="10"/>
        <v>0</v>
      </c>
      <c r="BW16" s="1">
        <f t="shared" si="10"/>
        <v>0</v>
      </c>
      <c r="BX16" s="1">
        <f t="shared" si="11"/>
        <v>0</v>
      </c>
      <c r="BY16" s="1">
        <f t="shared" si="11"/>
        <v>0</v>
      </c>
      <c r="BZ16" s="1">
        <f t="shared" si="11"/>
        <v>0</v>
      </c>
      <c r="CA16" s="1">
        <f t="shared" si="11"/>
        <v>0</v>
      </c>
      <c r="CB16" s="1">
        <f t="shared" si="11"/>
        <v>0</v>
      </c>
      <c r="CC16" s="1">
        <f t="shared" si="11"/>
        <v>0</v>
      </c>
      <c r="CD16" s="1">
        <f t="shared" si="11"/>
        <v>0</v>
      </c>
      <c r="CE16" s="1">
        <f t="shared" si="11"/>
        <v>0</v>
      </c>
      <c r="CF16" s="1">
        <f t="shared" si="11"/>
        <v>0</v>
      </c>
      <c r="CG16" s="1">
        <f t="shared" si="11"/>
        <v>0</v>
      </c>
      <c r="CH16" s="1">
        <f t="shared" si="11"/>
        <v>0</v>
      </c>
      <c r="CI16" s="1">
        <f t="shared" si="11"/>
        <v>0</v>
      </c>
      <c r="CJ16" s="1">
        <f t="shared" si="11"/>
        <v>0</v>
      </c>
      <c r="CK16" s="1">
        <f t="shared" si="11"/>
        <v>0</v>
      </c>
      <c r="CL16" s="1">
        <f t="shared" si="11"/>
        <v>0</v>
      </c>
      <c r="CM16" s="1">
        <f t="shared" si="11"/>
        <v>0</v>
      </c>
      <c r="CN16" s="1">
        <f t="shared" si="12"/>
        <v>0</v>
      </c>
      <c r="CO16" s="1">
        <f t="shared" si="12"/>
        <v>0</v>
      </c>
      <c r="CP16" s="1">
        <f t="shared" si="12"/>
        <v>0</v>
      </c>
      <c r="CQ16" s="1">
        <f t="shared" si="12"/>
        <v>0</v>
      </c>
      <c r="CR16" s="1">
        <f t="shared" si="12"/>
        <v>0</v>
      </c>
      <c r="CS16" s="1">
        <f t="shared" si="12"/>
        <v>0</v>
      </c>
      <c r="CT16" s="1">
        <f t="shared" si="12"/>
        <v>0</v>
      </c>
      <c r="CU16" s="1">
        <f t="shared" si="12"/>
        <v>0</v>
      </c>
      <c r="CV16" s="1">
        <f t="shared" si="12"/>
        <v>0</v>
      </c>
      <c r="CW16" s="1">
        <f t="shared" si="12"/>
        <v>0</v>
      </c>
      <c r="CX16" s="1">
        <f t="shared" si="12"/>
        <v>0</v>
      </c>
      <c r="CY16" s="1">
        <f t="shared" si="12"/>
        <v>0</v>
      </c>
      <c r="CZ16" s="1">
        <f t="shared" si="12"/>
        <v>0</v>
      </c>
      <c r="DA16" s="1">
        <f t="shared" si="12"/>
        <v>0</v>
      </c>
      <c r="DB16" s="1">
        <f t="shared" si="12"/>
        <v>0</v>
      </c>
      <c r="DC16" s="1">
        <f t="shared" si="12"/>
        <v>0</v>
      </c>
      <c r="DD16" s="1">
        <f t="shared" si="13"/>
        <v>0</v>
      </c>
    </row>
    <row r="17" spans="1:108" x14ac:dyDescent="0.2">
      <c r="A17">
        <v>80</v>
      </c>
      <c r="B17" s="1">
        <f t="shared" si="14"/>
        <v>4.8965557972258196E-5</v>
      </c>
      <c r="C17" s="3">
        <f t="shared" si="2"/>
        <v>1.2282263105486117E-6</v>
      </c>
      <c r="D17" s="5">
        <f t="shared" si="3"/>
        <v>6.3835231251795079</v>
      </c>
      <c r="F17" s="1">
        <f t="shared" si="4"/>
        <v>4.8965557972258196E-5</v>
      </c>
      <c r="G17" s="4">
        <f t="shared" si="5"/>
        <v>5.9117969670480424</v>
      </c>
      <c r="H17" s="4">
        <f t="shared" si="5"/>
        <v>5.2984351832740657</v>
      </c>
      <c r="I17" s="4">
        <f t="shared" si="5"/>
        <v>4.8003848247575975</v>
      </c>
      <c r="J17" s="4">
        <f t="shared" si="5"/>
        <v>4.3879222445009045</v>
      </c>
      <c r="K17" s="4">
        <f t="shared" si="5"/>
        <v>4.0407312392181369</v>
      </c>
      <c r="L17" s="4">
        <f t="shared" si="5"/>
        <v>3.7444541562812663</v>
      </c>
      <c r="M17" s="4">
        <f t="shared" si="5"/>
        <v>3.4886566405267638</v>
      </c>
      <c r="N17" s="4">
        <f t="shared" si="5"/>
        <v>3.2655732509976625</v>
      </c>
      <c r="O17" s="4">
        <f t="shared" si="5"/>
        <v>3.069305424132331</v>
      </c>
      <c r="P17" s="4">
        <f t="shared" si="5"/>
        <v>2.8952922640734946</v>
      </c>
      <c r="Q17" s="4">
        <f t="shared" si="5"/>
        <v>0</v>
      </c>
      <c r="R17" s="4">
        <f t="shared" si="5"/>
        <v>0</v>
      </c>
      <c r="S17" s="4">
        <f t="shared" si="5"/>
        <v>0</v>
      </c>
      <c r="T17" s="4">
        <f t="shared" si="5"/>
        <v>0</v>
      </c>
      <c r="U17" s="4">
        <f t="shared" si="5"/>
        <v>0</v>
      </c>
      <c r="V17" s="4">
        <f t="shared" si="5"/>
        <v>0</v>
      </c>
      <c r="W17" s="4">
        <f t="shared" si="6"/>
        <v>0</v>
      </c>
      <c r="X17" s="4">
        <f t="shared" si="6"/>
        <v>0</v>
      </c>
      <c r="Y17" s="4">
        <f t="shared" si="6"/>
        <v>0</v>
      </c>
      <c r="Z17" s="4">
        <f t="shared" si="6"/>
        <v>0</v>
      </c>
      <c r="AA17" s="4">
        <f t="shared" si="6"/>
        <v>0</v>
      </c>
      <c r="AB17" s="4">
        <f t="shared" si="6"/>
        <v>0</v>
      </c>
      <c r="AC17" s="4">
        <f t="shared" si="6"/>
        <v>0</v>
      </c>
      <c r="AD17" s="4">
        <f t="shared" si="6"/>
        <v>0</v>
      </c>
      <c r="AE17" s="4">
        <f t="shared" si="6"/>
        <v>0</v>
      </c>
      <c r="AF17" s="4">
        <f t="shared" si="6"/>
        <v>0</v>
      </c>
      <c r="AG17" s="4">
        <f t="shared" si="6"/>
        <v>0</v>
      </c>
      <c r="AH17" s="4">
        <f t="shared" si="6"/>
        <v>0</v>
      </c>
      <c r="AI17" s="4">
        <f t="shared" si="6"/>
        <v>0</v>
      </c>
      <c r="AJ17" s="4">
        <f t="shared" si="6"/>
        <v>0</v>
      </c>
      <c r="AK17" s="4">
        <f t="shared" si="6"/>
        <v>0</v>
      </c>
      <c r="AL17" s="4">
        <f t="shared" si="6"/>
        <v>0</v>
      </c>
      <c r="AM17" s="4">
        <f t="shared" si="7"/>
        <v>0</v>
      </c>
      <c r="AN17" s="4">
        <f t="shared" si="7"/>
        <v>0</v>
      </c>
      <c r="AO17" s="4">
        <f t="shared" si="7"/>
        <v>0</v>
      </c>
      <c r="AP17" s="4">
        <f t="shared" si="7"/>
        <v>0</v>
      </c>
      <c r="AQ17" s="4">
        <f t="shared" si="7"/>
        <v>0</v>
      </c>
      <c r="AR17" s="4">
        <f t="shared" si="7"/>
        <v>0</v>
      </c>
      <c r="AS17" s="4">
        <f t="shared" si="7"/>
        <v>0</v>
      </c>
      <c r="AT17" s="4">
        <f t="shared" si="7"/>
        <v>0</v>
      </c>
      <c r="AU17" s="4">
        <f t="shared" si="7"/>
        <v>0</v>
      </c>
      <c r="AV17" s="4">
        <f t="shared" si="7"/>
        <v>0</v>
      </c>
      <c r="AW17" s="4">
        <f t="shared" si="7"/>
        <v>0</v>
      </c>
      <c r="AX17" s="4">
        <f t="shared" si="7"/>
        <v>0</v>
      </c>
      <c r="AY17" s="4">
        <f t="shared" si="8"/>
        <v>0</v>
      </c>
      <c r="AZ17" s="4">
        <f t="shared" si="8"/>
        <v>0</v>
      </c>
      <c r="BA17" s="4">
        <f t="shared" si="8"/>
        <v>0</v>
      </c>
      <c r="BB17" s="4">
        <f t="shared" si="8"/>
        <v>0</v>
      </c>
      <c r="BC17" s="4">
        <f t="shared" si="8"/>
        <v>0</v>
      </c>
      <c r="BD17" s="4">
        <f t="shared" si="8"/>
        <v>0</v>
      </c>
      <c r="BF17" s="2">
        <f t="shared" si="9"/>
        <v>80</v>
      </c>
      <c r="BG17" s="1">
        <f t="shared" si="15"/>
        <v>1.6847010978464875E-5</v>
      </c>
      <c r="BH17" s="1">
        <f t="shared" si="10"/>
        <v>1.4837475666652072E-5</v>
      </c>
      <c r="BI17" s="1">
        <f t="shared" si="10"/>
        <v>1.3067640570775765E-5</v>
      </c>
      <c r="BJ17" s="1">
        <f t="shared" si="10"/>
        <v>1.1508913909849451E-5</v>
      </c>
      <c r="BK17" s="1">
        <f t="shared" si="10"/>
        <v>1.0136114370986476E-5</v>
      </c>
      <c r="BL17" s="1">
        <f t="shared" si="10"/>
        <v>1.0136114370986476E-5</v>
      </c>
      <c r="BM17" s="1">
        <f t="shared" si="10"/>
        <v>8.9270643039385229E-6</v>
      </c>
      <c r="BN17" s="1">
        <f t="shared" si="10"/>
        <v>7.8622314399652424E-6</v>
      </c>
      <c r="BO17" s="1">
        <f t="shared" si="10"/>
        <v>6.9244133469841787E-6</v>
      </c>
      <c r="BP17" s="1">
        <f t="shared" si="10"/>
        <v>6.9244133469841787E-6</v>
      </c>
      <c r="BQ17" s="1">
        <f t="shared" si="10"/>
        <v>0</v>
      </c>
      <c r="BR17" s="1">
        <f t="shared" si="10"/>
        <v>0</v>
      </c>
      <c r="BS17" s="1">
        <f t="shared" si="10"/>
        <v>0</v>
      </c>
      <c r="BT17" s="1">
        <f t="shared" si="10"/>
        <v>0</v>
      </c>
      <c r="BU17" s="1">
        <f t="shared" si="10"/>
        <v>0</v>
      </c>
      <c r="BV17" s="1">
        <f t="shared" si="10"/>
        <v>0</v>
      </c>
      <c r="BW17" s="1">
        <f t="shared" si="10"/>
        <v>0</v>
      </c>
      <c r="BX17" s="1">
        <f t="shared" si="11"/>
        <v>0</v>
      </c>
      <c r="BY17" s="1">
        <f t="shared" si="11"/>
        <v>0</v>
      </c>
      <c r="BZ17" s="1">
        <f t="shared" si="11"/>
        <v>0</v>
      </c>
      <c r="CA17" s="1">
        <f t="shared" si="11"/>
        <v>0</v>
      </c>
      <c r="CB17" s="1">
        <f t="shared" si="11"/>
        <v>0</v>
      </c>
      <c r="CC17" s="1">
        <f t="shared" si="11"/>
        <v>0</v>
      </c>
      <c r="CD17" s="1">
        <f t="shared" si="11"/>
        <v>0</v>
      </c>
      <c r="CE17" s="1">
        <f t="shared" si="11"/>
        <v>0</v>
      </c>
      <c r="CF17" s="1">
        <f t="shared" si="11"/>
        <v>0</v>
      </c>
      <c r="CG17" s="1">
        <f t="shared" si="11"/>
        <v>0</v>
      </c>
      <c r="CH17" s="1">
        <f t="shared" si="11"/>
        <v>0</v>
      </c>
      <c r="CI17" s="1">
        <f t="shared" si="11"/>
        <v>0</v>
      </c>
      <c r="CJ17" s="1">
        <f t="shared" si="11"/>
        <v>0</v>
      </c>
      <c r="CK17" s="1">
        <f t="shared" si="11"/>
        <v>0</v>
      </c>
      <c r="CL17" s="1">
        <f t="shared" si="11"/>
        <v>0</v>
      </c>
      <c r="CM17" s="1">
        <f t="shared" si="11"/>
        <v>0</v>
      </c>
      <c r="CN17" s="1">
        <f t="shared" si="12"/>
        <v>0</v>
      </c>
      <c r="CO17" s="1">
        <f t="shared" si="12"/>
        <v>0</v>
      </c>
      <c r="CP17" s="1">
        <f t="shared" si="12"/>
        <v>0</v>
      </c>
      <c r="CQ17" s="1">
        <f t="shared" si="12"/>
        <v>0</v>
      </c>
      <c r="CR17" s="1">
        <f t="shared" si="12"/>
        <v>0</v>
      </c>
      <c r="CS17" s="1">
        <f t="shared" si="12"/>
        <v>0</v>
      </c>
      <c r="CT17" s="1">
        <f t="shared" si="12"/>
        <v>0</v>
      </c>
      <c r="CU17" s="1">
        <f t="shared" si="12"/>
        <v>0</v>
      </c>
      <c r="CV17" s="1">
        <f t="shared" si="12"/>
        <v>0</v>
      </c>
      <c r="CW17" s="1">
        <f t="shared" si="12"/>
        <v>0</v>
      </c>
      <c r="CX17" s="1">
        <f t="shared" si="12"/>
        <v>0</v>
      </c>
      <c r="CY17" s="1">
        <f t="shared" si="12"/>
        <v>0</v>
      </c>
      <c r="CZ17" s="1">
        <f t="shared" si="12"/>
        <v>0</v>
      </c>
      <c r="DA17" s="1">
        <f t="shared" si="12"/>
        <v>0</v>
      </c>
      <c r="DB17" s="1">
        <f t="shared" si="12"/>
        <v>0</v>
      </c>
      <c r="DC17" s="1">
        <f t="shared" si="12"/>
        <v>0</v>
      </c>
      <c r="DD17" s="1">
        <f t="shared" si="13"/>
        <v>0</v>
      </c>
    </row>
    <row r="18" spans="1:108" x14ac:dyDescent="0.2">
      <c r="A18">
        <v>90</v>
      </c>
      <c r="B18" s="1">
        <f t="shared" si="14"/>
        <v>4.7737331661709585E-5</v>
      </c>
      <c r="C18" s="3">
        <f t="shared" si="2"/>
        <v>1.1974181275646719E-6</v>
      </c>
      <c r="D18" s="5">
        <f t="shared" si="3"/>
        <v>6.6914370841862425</v>
      </c>
      <c r="F18" s="1">
        <f t="shared" si="4"/>
        <v>4.7737331661709585E-5</v>
      </c>
      <c r="G18" s="4">
        <f t="shared" si="5"/>
        <v>6.9468145624571376</v>
      </c>
      <c r="H18" s="4">
        <f t="shared" si="5"/>
        <v>6.2283626734435575</v>
      </c>
      <c r="I18" s="4">
        <f t="shared" si="5"/>
        <v>5.6445892382306653</v>
      </c>
      <c r="J18" s="4">
        <f t="shared" si="5"/>
        <v>5.1608700057596133</v>
      </c>
      <c r="K18" s="4">
        <f t="shared" si="5"/>
        <v>4.7535125612047588</v>
      </c>
      <c r="L18" s="4">
        <f t="shared" si="5"/>
        <v>4.4057575984504256</v>
      </c>
      <c r="M18" s="4">
        <f t="shared" si="5"/>
        <v>4.105415759415747</v>
      </c>
      <c r="N18" s="4">
        <f t="shared" si="5"/>
        <v>3.8434093705656656</v>
      </c>
      <c r="O18" s="4">
        <f t="shared" si="5"/>
        <v>3.6128390762664697</v>
      </c>
      <c r="P18" s="4">
        <f t="shared" si="5"/>
        <v>3.408367420147385</v>
      </c>
      <c r="Q18" s="4">
        <f t="shared" si="5"/>
        <v>0</v>
      </c>
      <c r="R18" s="4">
        <f t="shared" si="5"/>
        <v>0</v>
      </c>
      <c r="S18" s="4">
        <f t="shared" si="5"/>
        <v>0</v>
      </c>
      <c r="T18" s="4">
        <f t="shared" si="5"/>
        <v>0</v>
      </c>
      <c r="U18" s="4">
        <f t="shared" si="5"/>
        <v>0</v>
      </c>
      <c r="V18" s="4">
        <f t="shared" si="5"/>
        <v>0</v>
      </c>
      <c r="W18" s="4">
        <f t="shared" si="6"/>
        <v>0</v>
      </c>
      <c r="X18" s="4">
        <f t="shared" si="6"/>
        <v>0</v>
      </c>
      <c r="Y18" s="4">
        <f t="shared" si="6"/>
        <v>0</v>
      </c>
      <c r="Z18" s="4">
        <f t="shared" si="6"/>
        <v>0</v>
      </c>
      <c r="AA18" s="4">
        <f t="shared" si="6"/>
        <v>0</v>
      </c>
      <c r="AB18" s="4">
        <f t="shared" si="6"/>
        <v>0</v>
      </c>
      <c r="AC18" s="4">
        <f t="shared" si="6"/>
        <v>0</v>
      </c>
      <c r="AD18" s="4">
        <f t="shared" si="6"/>
        <v>0</v>
      </c>
      <c r="AE18" s="4">
        <f t="shared" si="6"/>
        <v>0</v>
      </c>
      <c r="AF18" s="4">
        <f t="shared" si="6"/>
        <v>0</v>
      </c>
      <c r="AG18" s="4">
        <f t="shared" si="6"/>
        <v>0</v>
      </c>
      <c r="AH18" s="4">
        <f t="shared" si="6"/>
        <v>0</v>
      </c>
      <c r="AI18" s="4">
        <f t="shared" si="6"/>
        <v>0</v>
      </c>
      <c r="AJ18" s="4">
        <f t="shared" si="6"/>
        <v>0</v>
      </c>
      <c r="AK18" s="4">
        <f t="shared" si="6"/>
        <v>0</v>
      </c>
      <c r="AL18" s="4">
        <f t="shared" si="6"/>
        <v>0</v>
      </c>
      <c r="AM18" s="4">
        <f t="shared" si="7"/>
        <v>0</v>
      </c>
      <c r="AN18" s="4">
        <f t="shared" si="7"/>
        <v>0</v>
      </c>
      <c r="AO18" s="4">
        <f t="shared" si="7"/>
        <v>0</v>
      </c>
      <c r="AP18" s="4">
        <f t="shared" si="7"/>
        <v>0</v>
      </c>
      <c r="AQ18" s="4">
        <f t="shared" si="7"/>
        <v>0</v>
      </c>
      <c r="AR18" s="4">
        <f t="shared" si="7"/>
        <v>0</v>
      </c>
      <c r="AS18" s="4">
        <f t="shared" si="7"/>
        <v>0</v>
      </c>
      <c r="AT18" s="4">
        <f t="shared" si="7"/>
        <v>0</v>
      </c>
      <c r="AU18" s="4">
        <f t="shared" si="7"/>
        <v>0</v>
      </c>
      <c r="AV18" s="4">
        <f t="shared" si="7"/>
        <v>0</v>
      </c>
      <c r="AW18" s="4">
        <f t="shared" si="7"/>
        <v>0</v>
      </c>
      <c r="AX18" s="4">
        <f t="shared" si="7"/>
        <v>0</v>
      </c>
      <c r="AY18" s="4">
        <f t="shared" si="8"/>
        <v>0</v>
      </c>
      <c r="AZ18" s="4">
        <f t="shared" si="8"/>
        <v>0</v>
      </c>
      <c r="BA18" s="4">
        <f t="shared" si="8"/>
        <v>0</v>
      </c>
      <c r="BB18" s="4">
        <f t="shared" si="8"/>
        <v>0</v>
      </c>
      <c r="BC18" s="4">
        <f t="shared" si="8"/>
        <v>0</v>
      </c>
      <c r="BD18" s="4">
        <f t="shared" si="8"/>
        <v>0</v>
      </c>
      <c r="BF18" s="2">
        <f t="shared" si="9"/>
        <v>90</v>
      </c>
      <c r="BG18" s="1">
        <f t="shared" si="15"/>
        <v>1.4837475666652072E-5</v>
      </c>
      <c r="BH18" s="1">
        <f t="shared" si="10"/>
        <v>1.3067640570775765E-5</v>
      </c>
      <c r="BI18" s="1">
        <f t="shared" si="10"/>
        <v>1.1508913909849451E-5</v>
      </c>
      <c r="BJ18" s="1">
        <f t="shared" si="10"/>
        <v>1.0136114370986476E-5</v>
      </c>
      <c r="BK18" s="1">
        <f t="shared" si="10"/>
        <v>8.9270643039385229E-6</v>
      </c>
      <c r="BL18" s="1">
        <f t="shared" si="10"/>
        <v>7.8622314399652424E-6</v>
      </c>
      <c r="BM18" s="1">
        <f t="shared" si="10"/>
        <v>6.9244133469841787E-6</v>
      </c>
      <c r="BN18" s="1">
        <f t="shared" si="10"/>
        <v>6.9244133469841787E-6</v>
      </c>
      <c r="BO18" s="1">
        <f t="shared" si="10"/>
        <v>5.3710266407220473E-6</v>
      </c>
      <c r="BP18" s="1">
        <f t="shared" si="10"/>
        <v>4.7303629818086123E-6</v>
      </c>
      <c r="BQ18" s="1">
        <f t="shared" si="10"/>
        <v>0</v>
      </c>
      <c r="BR18" s="1">
        <f t="shared" si="10"/>
        <v>0</v>
      </c>
      <c r="BS18" s="1">
        <f t="shared" si="10"/>
        <v>0</v>
      </c>
      <c r="BT18" s="1">
        <f t="shared" si="10"/>
        <v>0</v>
      </c>
      <c r="BU18" s="1">
        <f t="shared" si="10"/>
        <v>0</v>
      </c>
      <c r="BV18" s="1">
        <f t="shared" si="10"/>
        <v>0</v>
      </c>
      <c r="BW18" s="1">
        <f t="shared" si="10"/>
        <v>0</v>
      </c>
      <c r="BX18" s="1">
        <f t="shared" si="11"/>
        <v>0</v>
      </c>
      <c r="BY18" s="1">
        <f t="shared" si="11"/>
        <v>0</v>
      </c>
      <c r="BZ18" s="1">
        <f t="shared" si="11"/>
        <v>0</v>
      </c>
      <c r="CA18" s="1">
        <f t="shared" si="11"/>
        <v>0</v>
      </c>
      <c r="CB18" s="1">
        <f t="shared" si="11"/>
        <v>0</v>
      </c>
      <c r="CC18" s="1">
        <f t="shared" si="11"/>
        <v>0</v>
      </c>
      <c r="CD18" s="1">
        <f t="shared" si="11"/>
        <v>0</v>
      </c>
      <c r="CE18" s="1">
        <f t="shared" si="11"/>
        <v>0</v>
      </c>
      <c r="CF18" s="1">
        <f t="shared" si="11"/>
        <v>0</v>
      </c>
      <c r="CG18" s="1">
        <f t="shared" si="11"/>
        <v>0</v>
      </c>
      <c r="CH18" s="1">
        <f t="shared" si="11"/>
        <v>0</v>
      </c>
      <c r="CI18" s="1">
        <f t="shared" si="11"/>
        <v>0</v>
      </c>
      <c r="CJ18" s="1">
        <f t="shared" si="11"/>
        <v>0</v>
      </c>
      <c r="CK18" s="1">
        <f t="shared" si="11"/>
        <v>0</v>
      </c>
      <c r="CL18" s="1">
        <f t="shared" si="11"/>
        <v>0</v>
      </c>
      <c r="CM18" s="1">
        <f t="shared" si="11"/>
        <v>0</v>
      </c>
      <c r="CN18" s="1">
        <f t="shared" si="12"/>
        <v>0</v>
      </c>
      <c r="CO18" s="1">
        <f t="shared" si="12"/>
        <v>0</v>
      </c>
      <c r="CP18" s="1">
        <f t="shared" si="12"/>
        <v>0</v>
      </c>
      <c r="CQ18" s="1">
        <f t="shared" si="12"/>
        <v>0</v>
      </c>
      <c r="CR18" s="1">
        <f t="shared" si="12"/>
        <v>0</v>
      </c>
      <c r="CS18" s="1">
        <f t="shared" si="12"/>
        <v>0</v>
      </c>
      <c r="CT18" s="1">
        <f t="shared" si="12"/>
        <v>0</v>
      </c>
      <c r="CU18" s="1">
        <f t="shared" si="12"/>
        <v>0</v>
      </c>
      <c r="CV18" s="1">
        <f t="shared" si="12"/>
        <v>0</v>
      </c>
      <c r="CW18" s="1">
        <f t="shared" si="12"/>
        <v>0</v>
      </c>
      <c r="CX18" s="1">
        <f t="shared" si="12"/>
        <v>0</v>
      </c>
      <c r="CY18" s="1">
        <f t="shared" si="12"/>
        <v>0</v>
      </c>
      <c r="CZ18" s="1">
        <f t="shared" si="12"/>
        <v>0</v>
      </c>
      <c r="DA18" s="1">
        <f t="shared" si="12"/>
        <v>0</v>
      </c>
      <c r="DB18" s="1">
        <f t="shared" si="12"/>
        <v>0</v>
      </c>
      <c r="DC18" s="1">
        <f t="shared" si="12"/>
        <v>0</v>
      </c>
      <c r="DD18" s="1">
        <f t="shared" si="13"/>
        <v>0</v>
      </c>
    </row>
    <row r="19" spans="1:108" x14ac:dyDescent="0.2">
      <c r="A19">
        <v>100</v>
      </c>
      <c r="B19" s="1">
        <f t="shared" si="14"/>
        <v>4.6539913534144913E-5</v>
      </c>
      <c r="C19" s="3">
        <f t="shared" si="2"/>
        <v>2.305483427317016E-6</v>
      </c>
      <c r="D19" s="5">
        <f t="shared" si="3"/>
        <v>6.9794397862539164</v>
      </c>
      <c r="F19" s="1">
        <f t="shared" si="4"/>
        <v>4.6539913534144913E-5</v>
      </c>
      <c r="G19" s="4">
        <f t="shared" si="5"/>
        <v>8.0242409049833121</v>
      </c>
      <c r="H19" s="4">
        <f t="shared" si="5"/>
        <v>7.1968241945270517</v>
      </c>
      <c r="I19" s="4">
        <f t="shared" si="5"/>
        <v>6.5240945364818819</v>
      </c>
      <c r="J19" s="4">
        <f t="shared" si="5"/>
        <v>5.9663816128772913</v>
      </c>
      <c r="K19" s="4">
        <f t="shared" si="5"/>
        <v>5.4965117171744451</v>
      </c>
      <c r="L19" s="4">
        <f t="shared" si="5"/>
        <v>5.0952462626105097</v>
      </c>
      <c r="M19" s="4">
        <f t="shared" si="5"/>
        <v>4.7485823843143127</v>
      </c>
      <c r="N19" s="4">
        <f t="shared" si="5"/>
        <v>4.4460852935628061</v>
      </c>
      <c r="O19" s="4">
        <f t="shared" si="5"/>
        <v>4.1798198599708547</v>
      </c>
      <c r="P19" s="4">
        <f t="shared" si="5"/>
        <v>3.9436444112848941</v>
      </c>
      <c r="Q19" s="4">
        <f t="shared" si="5"/>
        <v>0</v>
      </c>
      <c r="R19" s="4">
        <f t="shared" si="5"/>
        <v>0</v>
      </c>
      <c r="S19" s="4">
        <f t="shared" si="5"/>
        <v>0</v>
      </c>
      <c r="T19" s="4">
        <f t="shared" si="5"/>
        <v>0</v>
      </c>
      <c r="U19" s="4">
        <f t="shared" si="5"/>
        <v>0</v>
      </c>
      <c r="V19" s="4">
        <f t="shared" si="5"/>
        <v>0</v>
      </c>
      <c r="W19" s="4">
        <f t="shared" si="6"/>
        <v>0</v>
      </c>
      <c r="X19" s="4">
        <f t="shared" si="6"/>
        <v>0</v>
      </c>
      <c r="Y19" s="4">
        <f t="shared" si="6"/>
        <v>0</v>
      </c>
      <c r="Z19" s="4">
        <f t="shared" si="6"/>
        <v>0</v>
      </c>
      <c r="AA19" s="4">
        <f t="shared" si="6"/>
        <v>0</v>
      </c>
      <c r="AB19" s="4">
        <f t="shared" si="6"/>
        <v>0</v>
      </c>
      <c r="AC19" s="4">
        <f t="shared" si="6"/>
        <v>0</v>
      </c>
      <c r="AD19" s="4">
        <f t="shared" si="6"/>
        <v>0</v>
      </c>
      <c r="AE19" s="4">
        <f t="shared" si="6"/>
        <v>0</v>
      </c>
      <c r="AF19" s="4">
        <f t="shared" si="6"/>
        <v>0</v>
      </c>
      <c r="AG19" s="4">
        <f t="shared" si="6"/>
        <v>0</v>
      </c>
      <c r="AH19" s="4">
        <f t="shared" si="6"/>
        <v>0</v>
      </c>
      <c r="AI19" s="4">
        <f t="shared" si="6"/>
        <v>0</v>
      </c>
      <c r="AJ19" s="4">
        <f t="shared" si="6"/>
        <v>0</v>
      </c>
      <c r="AK19" s="4">
        <f t="shared" si="6"/>
        <v>0</v>
      </c>
      <c r="AL19" s="4">
        <f t="shared" si="6"/>
        <v>0</v>
      </c>
      <c r="AM19" s="4">
        <f t="shared" si="7"/>
        <v>0</v>
      </c>
      <c r="AN19" s="4">
        <f t="shared" si="7"/>
        <v>0</v>
      </c>
      <c r="AO19" s="4">
        <f t="shared" si="7"/>
        <v>0</v>
      </c>
      <c r="AP19" s="4">
        <f t="shared" si="7"/>
        <v>0</v>
      </c>
      <c r="AQ19" s="4">
        <f t="shared" si="7"/>
        <v>0</v>
      </c>
      <c r="AR19" s="4">
        <f t="shared" si="7"/>
        <v>0</v>
      </c>
      <c r="AS19" s="4">
        <f t="shared" si="7"/>
        <v>0</v>
      </c>
      <c r="AT19" s="4">
        <f t="shared" si="7"/>
        <v>0</v>
      </c>
      <c r="AU19" s="4">
        <f t="shared" si="7"/>
        <v>0</v>
      </c>
      <c r="AV19" s="4">
        <f t="shared" si="7"/>
        <v>0</v>
      </c>
      <c r="AW19" s="4">
        <f t="shared" si="7"/>
        <v>0</v>
      </c>
      <c r="AX19" s="4">
        <f t="shared" si="7"/>
        <v>0</v>
      </c>
      <c r="AY19" s="4">
        <f t="shared" si="8"/>
        <v>0</v>
      </c>
      <c r="AZ19" s="4">
        <f t="shared" si="8"/>
        <v>0</v>
      </c>
      <c r="BA19" s="4">
        <f t="shared" si="8"/>
        <v>0</v>
      </c>
      <c r="BB19" s="4">
        <f t="shared" si="8"/>
        <v>0</v>
      </c>
      <c r="BC19" s="4">
        <f t="shared" si="8"/>
        <v>0</v>
      </c>
      <c r="BD19" s="4">
        <f t="shared" si="8"/>
        <v>0</v>
      </c>
      <c r="BF19" s="2">
        <f t="shared" si="9"/>
        <v>100</v>
      </c>
      <c r="BG19" s="1">
        <f t="shared" si="15"/>
        <v>1.3067640570775765E-5</v>
      </c>
      <c r="BH19" s="1">
        <f t="shared" si="10"/>
        <v>1.1508913909849451E-5</v>
      </c>
      <c r="BI19" s="1">
        <f t="shared" si="10"/>
        <v>1.0136114370986476E-5</v>
      </c>
      <c r="BJ19" s="1">
        <f t="shared" si="10"/>
        <v>8.9270643039385229E-6</v>
      </c>
      <c r="BK19" s="1">
        <f t="shared" si="10"/>
        <v>7.8622314399652424E-6</v>
      </c>
      <c r="BL19" s="1">
        <f t="shared" si="10"/>
        <v>6.9244133469841787E-6</v>
      </c>
      <c r="BM19" s="1">
        <f t="shared" si="10"/>
        <v>6.0984595233569718E-6</v>
      </c>
      <c r="BN19" s="1">
        <f t="shared" si="10"/>
        <v>4.7303629818086123E-6</v>
      </c>
      <c r="BO19" s="1">
        <f t="shared" si="10"/>
        <v>3.6691780693082081E-6</v>
      </c>
      <c r="BP19" s="1">
        <f t="shared" si="10"/>
        <v>2.2075849897387706E-6</v>
      </c>
      <c r="BQ19" s="1">
        <f t="shared" si="10"/>
        <v>0</v>
      </c>
      <c r="BR19" s="1">
        <f t="shared" si="10"/>
        <v>0</v>
      </c>
      <c r="BS19" s="1">
        <f t="shared" si="10"/>
        <v>0</v>
      </c>
      <c r="BT19" s="1">
        <f t="shared" si="10"/>
        <v>0</v>
      </c>
      <c r="BU19" s="1">
        <f t="shared" si="10"/>
        <v>0</v>
      </c>
      <c r="BV19" s="1">
        <f t="shared" si="10"/>
        <v>0</v>
      </c>
      <c r="BW19" s="1">
        <f t="shared" si="10"/>
        <v>0</v>
      </c>
      <c r="BX19" s="1">
        <f t="shared" si="11"/>
        <v>0</v>
      </c>
      <c r="BY19" s="1">
        <f t="shared" si="11"/>
        <v>0</v>
      </c>
      <c r="BZ19" s="1">
        <f t="shared" si="11"/>
        <v>0</v>
      </c>
      <c r="CA19" s="1">
        <f t="shared" si="11"/>
        <v>0</v>
      </c>
      <c r="CB19" s="1">
        <f t="shared" si="11"/>
        <v>0</v>
      </c>
      <c r="CC19" s="1">
        <f t="shared" si="11"/>
        <v>0</v>
      </c>
      <c r="CD19" s="1">
        <f t="shared" si="11"/>
        <v>0</v>
      </c>
      <c r="CE19" s="1">
        <f t="shared" si="11"/>
        <v>0</v>
      </c>
      <c r="CF19" s="1">
        <f t="shared" si="11"/>
        <v>0</v>
      </c>
      <c r="CG19" s="1">
        <f t="shared" si="11"/>
        <v>0</v>
      </c>
      <c r="CH19" s="1">
        <f t="shared" si="11"/>
        <v>0</v>
      </c>
      <c r="CI19" s="1">
        <f t="shared" si="11"/>
        <v>0</v>
      </c>
      <c r="CJ19" s="1">
        <f t="shared" si="11"/>
        <v>0</v>
      </c>
      <c r="CK19" s="1">
        <f t="shared" si="11"/>
        <v>0</v>
      </c>
      <c r="CL19" s="1">
        <f t="shared" si="11"/>
        <v>0</v>
      </c>
      <c r="CM19" s="1">
        <f t="shared" si="11"/>
        <v>0</v>
      </c>
      <c r="CN19" s="1">
        <f t="shared" si="12"/>
        <v>0</v>
      </c>
      <c r="CO19" s="1">
        <f t="shared" si="12"/>
        <v>0</v>
      </c>
      <c r="CP19" s="1">
        <f t="shared" si="12"/>
        <v>0</v>
      </c>
      <c r="CQ19" s="1">
        <f t="shared" si="12"/>
        <v>0</v>
      </c>
      <c r="CR19" s="1">
        <f t="shared" si="12"/>
        <v>0</v>
      </c>
      <c r="CS19" s="1">
        <f t="shared" si="12"/>
        <v>0</v>
      </c>
      <c r="CT19" s="1">
        <f t="shared" si="12"/>
        <v>0</v>
      </c>
      <c r="CU19" s="1">
        <f t="shared" si="12"/>
        <v>0</v>
      </c>
      <c r="CV19" s="1">
        <f t="shared" si="12"/>
        <v>0</v>
      </c>
      <c r="CW19" s="1">
        <f t="shared" si="12"/>
        <v>0</v>
      </c>
      <c r="CX19" s="1">
        <f t="shared" si="12"/>
        <v>0</v>
      </c>
      <c r="CY19" s="1">
        <f t="shared" si="12"/>
        <v>0</v>
      </c>
      <c r="CZ19" s="1">
        <f t="shared" si="12"/>
        <v>0</v>
      </c>
      <c r="DA19" s="1">
        <f t="shared" si="12"/>
        <v>0</v>
      </c>
      <c r="DB19" s="1">
        <f t="shared" si="12"/>
        <v>0</v>
      </c>
      <c r="DC19" s="1">
        <f t="shared" si="12"/>
        <v>0</v>
      </c>
      <c r="DD19" s="1">
        <f t="shared" si="13"/>
        <v>0</v>
      </c>
    </row>
    <row r="20" spans="1:108" x14ac:dyDescent="0.2">
      <c r="A20">
        <v>120</v>
      </c>
      <c r="B20" s="1">
        <f t="shared" si="14"/>
        <v>4.4234430106827897E-5</v>
      </c>
      <c r="C20" s="3">
        <f t="shared" si="2"/>
        <v>2.1912749247651094E-6</v>
      </c>
      <c r="D20" s="5">
        <f t="shared" si="3"/>
        <v>7.5074058766919576</v>
      </c>
      <c r="F20" s="1">
        <f t="shared" si="4"/>
        <v>4.4234430106827897E-5</v>
      </c>
      <c r="G20" s="4">
        <f t="shared" si="5"/>
        <v>10.294999562351226</v>
      </c>
      <c r="H20" s="4">
        <f t="shared" si="5"/>
        <v>9.239182368796687</v>
      </c>
      <c r="I20" s="4">
        <f t="shared" si="5"/>
        <v>8.3797827494445301</v>
      </c>
      <c r="J20" s="4">
        <f t="shared" si="5"/>
        <v>7.6666546970528398</v>
      </c>
      <c r="K20" s="4">
        <f t="shared" si="5"/>
        <v>7.0653833713333754</v>
      </c>
      <c r="L20" s="4">
        <f t="shared" si="5"/>
        <v>6.5515649826955178</v>
      </c>
      <c r="M20" s="4">
        <f t="shared" si="5"/>
        <v>6.1074133861192577</v>
      </c>
      <c r="N20" s="4">
        <f t="shared" si="5"/>
        <v>5.7196593403888256</v>
      </c>
      <c r="O20" s="4">
        <f t="shared" si="5"/>
        <v>5.3782022382115482</v>
      </c>
      <c r="P20" s="4">
        <f t="shared" si="5"/>
        <v>5.0752175705212546</v>
      </c>
      <c r="Q20" s="4">
        <f t="shared" si="5"/>
        <v>0</v>
      </c>
      <c r="R20" s="4">
        <f t="shared" si="5"/>
        <v>0</v>
      </c>
      <c r="S20" s="4">
        <f t="shared" si="5"/>
        <v>0</v>
      </c>
      <c r="T20" s="4">
        <f t="shared" si="5"/>
        <v>0</v>
      </c>
      <c r="U20" s="4">
        <f t="shared" si="5"/>
        <v>0</v>
      </c>
      <c r="V20" s="4">
        <f t="shared" si="5"/>
        <v>0</v>
      </c>
      <c r="W20" s="4">
        <f t="shared" si="6"/>
        <v>0</v>
      </c>
      <c r="X20" s="4">
        <f t="shared" si="6"/>
        <v>0</v>
      </c>
      <c r="Y20" s="4">
        <f t="shared" si="6"/>
        <v>0</v>
      </c>
      <c r="Z20" s="4">
        <f t="shared" si="6"/>
        <v>0</v>
      </c>
      <c r="AA20" s="4">
        <f t="shared" si="6"/>
        <v>0</v>
      </c>
      <c r="AB20" s="4">
        <f t="shared" si="6"/>
        <v>0</v>
      </c>
      <c r="AC20" s="4">
        <f t="shared" si="6"/>
        <v>0</v>
      </c>
      <c r="AD20" s="4">
        <f t="shared" si="6"/>
        <v>0</v>
      </c>
      <c r="AE20" s="4">
        <f t="shared" si="6"/>
        <v>0</v>
      </c>
      <c r="AF20" s="4">
        <f t="shared" si="6"/>
        <v>0</v>
      </c>
      <c r="AG20" s="4">
        <f t="shared" si="6"/>
        <v>0</v>
      </c>
      <c r="AH20" s="4">
        <f t="shared" si="6"/>
        <v>0</v>
      </c>
      <c r="AI20" s="4">
        <f t="shared" si="6"/>
        <v>0</v>
      </c>
      <c r="AJ20" s="4">
        <f t="shared" si="6"/>
        <v>0</v>
      </c>
      <c r="AK20" s="4">
        <f t="shared" si="6"/>
        <v>0</v>
      </c>
      <c r="AL20" s="4">
        <f t="shared" si="6"/>
        <v>0</v>
      </c>
      <c r="AM20" s="4">
        <f t="shared" si="7"/>
        <v>0</v>
      </c>
      <c r="AN20" s="4">
        <f t="shared" si="7"/>
        <v>0</v>
      </c>
      <c r="AO20" s="4">
        <f t="shared" si="7"/>
        <v>0</v>
      </c>
      <c r="AP20" s="4">
        <f t="shared" si="7"/>
        <v>0</v>
      </c>
      <c r="AQ20" s="4">
        <f t="shared" si="7"/>
        <v>0</v>
      </c>
      <c r="AR20" s="4">
        <f t="shared" si="7"/>
        <v>0</v>
      </c>
      <c r="AS20" s="4">
        <f t="shared" si="7"/>
        <v>0</v>
      </c>
      <c r="AT20" s="4">
        <f t="shared" si="7"/>
        <v>0</v>
      </c>
      <c r="AU20" s="4">
        <f t="shared" si="7"/>
        <v>0</v>
      </c>
      <c r="AV20" s="4">
        <f t="shared" si="7"/>
        <v>0</v>
      </c>
      <c r="AW20" s="4">
        <f t="shared" si="7"/>
        <v>0</v>
      </c>
      <c r="AX20" s="4">
        <f t="shared" si="7"/>
        <v>0</v>
      </c>
      <c r="AY20" s="4">
        <f t="shared" si="8"/>
        <v>0</v>
      </c>
      <c r="AZ20" s="4">
        <f t="shared" si="8"/>
        <v>0</v>
      </c>
      <c r="BA20" s="4">
        <f t="shared" si="8"/>
        <v>0</v>
      </c>
      <c r="BB20" s="4">
        <f t="shared" si="8"/>
        <v>0</v>
      </c>
      <c r="BC20" s="4">
        <f t="shared" si="8"/>
        <v>0</v>
      </c>
      <c r="BD20" s="4">
        <f t="shared" si="8"/>
        <v>0</v>
      </c>
      <c r="BF20" s="2">
        <f t="shared" si="9"/>
        <v>120</v>
      </c>
      <c r="BG20" s="1">
        <f t="shared" si="15"/>
        <v>1.0136114370986476E-5</v>
      </c>
      <c r="BH20" s="1">
        <f t="shared" si="10"/>
        <v>8.9270643039385229E-6</v>
      </c>
      <c r="BI20" s="1">
        <f t="shared" si="10"/>
        <v>6.9244133469841787E-6</v>
      </c>
      <c r="BJ20" s="1">
        <f t="shared" si="10"/>
        <v>6.0984595233569718E-6</v>
      </c>
      <c r="BK20" s="1">
        <f t="shared" si="10"/>
        <v>5.3710266407220473E-6</v>
      </c>
      <c r="BL20" s="1">
        <f t="shared" si="10"/>
        <v>4.7303629818086123E-6</v>
      </c>
      <c r="BM20" s="1">
        <f t="shared" si="10"/>
        <v>3.6691780693082081E-6</v>
      </c>
      <c r="BN20" s="1">
        <f t="shared" si="10"/>
        <v>2.2075849897387706E-6</v>
      </c>
      <c r="BO20" s="1">
        <f t="shared" si="10"/>
        <v>1.3282079514442266E-6</v>
      </c>
      <c r="BP20" s="1">
        <f t="shared" si="10"/>
        <v>7.9912500333154581E-7</v>
      </c>
      <c r="BQ20" s="1">
        <f t="shared" si="10"/>
        <v>0</v>
      </c>
      <c r="BR20" s="1">
        <f t="shared" si="10"/>
        <v>0</v>
      </c>
      <c r="BS20" s="1">
        <f t="shared" si="10"/>
        <v>0</v>
      </c>
      <c r="BT20" s="1">
        <f t="shared" si="10"/>
        <v>0</v>
      </c>
      <c r="BU20" s="1">
        <f t="shared" si="10"/>
        <v>0</v>
      </c>
      <c r="BV20" s="1">
        <f t="shared" si="10"/>
        <v>0</v>
      </c>
      <c r="BW20" s="1">
        <f t="shared" si="10"/>
        <v>0</v>
      </c>
      <c r="BX20" s="1">
        <f t="shared" si="11"/>
        <v>0</v>
      </c>
      <c r="BY20" s="1">
        <f t="shared" si="11"/>
        <v>0</v>
      </c>
      <c r="BZ20" s="1">
        <f t="shared" si="11"/>
        <v>0</v>
      </c>
      <c r="CA20" s="1">
        <f t="shared" si="11"/>
        <v>0</v>
      </c>
      <c r="CB20" s="1">
        <f t="shared" si="11"/>
        <v>0</v>
      </c>
      <c r="CC20" s="1">
        <f t="shared" si="11"/>
        <v>0</v>
      </c>
      <c r="CD20" s="1">
        <f t="shared" si="11"/>
        <v>0</v>
      </c>
      <c r="CE20" s="1">
        <f t="shared" si="11"/>
        <v>0</v>
      </c>
      <c r="CF20" s="1">
        <f t="shared" si="11"/>
        <v>0</v>
      </c>
      <c r="CG20" s="1">
        <f t="shared" si="11"/>
        <v>0</v>
      </c>
      <c r="CH20" s="1">
        <f t="shared" si="11"/>
        <v>0</v>
      </c>
      <c r="CI20" s="1">
        <f t="shared" si="11"/>
        <v>0</v>
      </c>
      <c r="CJ20" s="1">
        <f t="shared" si="11"/>
        <v>0</v>
      </c>
      <c r="CK20" s="1">
        <f t="shared" si="11"/>
        <v>0</v>
      </c>
      <c r="CL20" s="1">
        <f t="shared" si="11"/>
        <v>0</v>
      </c>
      <c r="CM20" s="1">
        <f t="shared" si="11"/>
        <v>0</v>
      </c>
      <c r="CN20" s="1">
        <f t="shared" si="12"/>
        <v>0</v>
      </c>
      <c r="CO20" s="1">
        <f t="shared" si="12"/>
        <v>0</v>
      </c>
      <c r="CP20" s="1">
        <f t="shared" si="12"/>
        <v>0</v>
      </c>
      <c r="CQ20" s="1">
        <f t="shared" si="12"/>
        <v>0</v>
      </c>
      <c r="CR20" s="1">
        <f t="shared" si="12"/>
        <v>0</v>
      </c>
      <c r="CS20" s="1">
        <f t="shared" si="12"/>
        <v>0</v>
      </c>
      <c r="CT20" s="1">
        <f t="shared" si="12"/>
        <v>0</v>
      </c>
      <c r="CU20" s="1">
        <f t="shared" si="12"/>
        <v>0</v>
      </c>
      <c r="CV20" s="1">
        <f t="shared" si="12"/>
        <v>0</v>
      </c>
      <c r="CW20" s="1">
        <f t="shared" si="12"/>
        <v>0</v>
      </c>
      <c r="CX20" s="1">
        <f t="shared" si="12"/>
        <v>0</v>
      </c>
      <c r="CY20" s="1">
        <f t="shared" si="12"/>
        <v>0</v>
      </c>
      <c r="CZ20" s="1">
        <f t="shared" si="12"/>
        <v>0</v>
      </c>
      <c r="DA20" s="1">
        <f t="shared" si="12"/>
        <v>0</v>
      </c>
      <c r="DB20" s="1">
        <f t="shared" si="12"/>
        <v>0</v>
      </c>
      <c r="DC20" s="1">
        <f t="shared" si="12"/>
        <v>0</v>
      </c>
      <c r="DD20" s="1">
        <f t="shared" si="13"/>
        <v>0</v>
      </c>
    </row>
    <row r="21" spans="1:108" x14ac:dyDescent="0.2">
      <c r="A21">
        <v>140</v>
      </c>
      <c r="B21" s="1">
        <f t="shared" si="14"/>
        <v>4.2043155182062788E-5</v>
      </c>
      <c r="C21" s="3">
        <f t="shared" si="2"/>
        <v>2.0827240564863828E-6</v>
      </c>
      <c r="D21" s="5">
        <f t="shared" si="3"/>
        <v>7.9848347744630832</v>
      </c>
      <c r="F21" s="1">
        <f t="shared" si="4"/>
        <v>4.2043155182062788E-5</v>
      </c>
      <c r="G21" s="4">
        <f t="shared" si="5"/>
        <v>12.705335769401103</v>
      </c>
      <c r="H21" s="4">
        <f t="shared" si="5"/>
        <v>11.408672280745366</v>
      </c>
      <c r="I21" s="4">
        <f t="shared" si="5"/>
        <v>10.352165382848685</v>
      </c>
      <c r="J21" s="4">
        <f t="shared" si="5"/>
        <v>9.4747504673947081</v>
      </c>
      <c r="K21" s="4">
        <f t="shared" si="5"/>
        <v>8.7344478773189973</v>
      </c>
      <c r="L21" s="4">
        <f t="shared" si="5"/>
        <v>8.1014473094235839</v>
      </c>
      <c r="M21" s="4">
        <f t="shared" si="5"/>
        <v>7.5539961248633114</v>
      </c>
      <c r="N21" s="4">
        <f t="shared" si="5"/>
        <v>7.0758492105947823</v>
      </c>
      <c r="O21" s="4">
        <f t="shared" si="5"/>
        <v>6.6546296868148618</v>
      </c>
      <c r="P21" s="4">
        <f t="shared" si="5"/>
        <v>6.2807422320074116</v>
      </c>
      <c r="Q21" s="4">
        <f t="shared" si="5"/>
        <v>0</v>
      </c>
      <c r="R21" s="4">
        <f t="shared" si="5"/>
        <v>0</v>
      </c>
      <c r="S21" s="4">
        <f t="shared" si="5"/>
        <v>0</v>
      </c>
      <c r="T21" s="4">
        <f t="shared" si="5"/>
        <v>0</v>
      </c>
      <c r="U21" s="4">
        <f t="shared" si="5"/>
        <v>0</v>
      </c>
      <c r="V21" s="4">
        <f t="shared" si="5"/>
        <v>0</v>
      </c>
      <c r="W21" s="4">
        <f t="shared" si="6"/>
        <v>0</v>
      </c>
      <c r="X21" s="4">
        <f t="shared" si="6"/>
        <v>0</v>
      </c>
      <c r="Y21" s="4">
        <f t="shared" si="6"/>
        <v>0</v>
      </c>
      <c r="Z21" s="4">
        <f t="shared" si="6"/>
        <v>0</v>
      </c>
      <c r="AA21" s="4">
        <f t="shared" si="6"/>
        <v>0</v>
      </c>
      <c r="AB21" s="4">
        <f t="shared" si="6"/>
        <v>0</v>
      </c>
      <c r="AC21" s="4">
        <f t="shared" si="6"/>
        <v>0</v>
      </c>
      <c r="AD21" s="4">
        <f t="shared" si="6"/>
        <v>0</v>
      </c>
      <c r="AE21" s="4">
        <f t="shared" si="6"/>
        <v>0</v>
      </c>
      <c r="AF21" s="4">
        <f t="shared" si="6"/>
        <v>0</v>
      </c>
      <c r="AG21" s="4">
        <f t="shared" si="6"/>
        <v>0</v>
      </c>
      <c r="AH21" s="4">
        <f t="shared" si="6"/>
        <v>0</v>
      </c>
      <c r="AI21" s="4">
        <f t="shared" si="6"/>
        <v>0</v>
      </c>
      <c r="AJ21" s="4">
        <f t="shared" si="6"/>
        <v>0</v>
      </c>
      <c r="AK21" s="4">
        <f t="shared" si="6"/>
        <v>0</v>
      </c>
      <c r="AL21" s="4">
        <f t="shared" si="6"/>
        <v>0</v>
      </c>
      <c r="AM21" s="4">
        <f t="shared" si="7"/>
        <v>0</v>
      </c>
      <c r="AN21" s="4">
        <f t="shared" si="7"/>
        <v>0</v>
      </c>
      <c r="AO21" s="4">
        <f t="shared" si="7"/>
        <v>0</v>
      </c>
      <c r="AP21" s="4">
        <f t="shared" si="7"/>
        <v>0</v>
      </c>
      <c r="AQ21" s="4">
        <f t="shared" si="7"/>
        <v>0</v>
      </c>
      <c r="AR21" s="4">
        <f t="shared" si="7"/>
        <v>0</v>
      </c>
      <c r="AS21" s="4">
        <f t="shared" si="7"/>
        <v>0</v>
      </c>
      <c r="AT21" s="4">
        <f t="shared" si="7"/>
        <v>0</v>
      </c>
      <c r="AU21" s="4">
        <f t="shared" si="7"/>
        <v>0</v>
      </c>
      <c r="AV21" s="4">
        <f t="shared" si="7"/>
        <v>0</v>
      </c>
      <c r="AW21" s="4">
        <f t="shared" si="7"/>
        <v>0</v>
      </c>
      <c r="AX21" s="4">
        <f t="shared" si="7"/>
        <v>0</v>
      </c>
      <c r="AY21" s="4">
        <f t="shared" si="8"/>
        <v>0</v>
      </c>
      <c r="AZ21" s="4">
        <f t="shared" si="8"/>
        <v>0</v>
      </c>
      <c r="BA21" s="4">
        <f t="shared" si="8"/>
        <v>0</v>
      </c>
      <c r="BB21" s="4">
        <f t="shared" si="8"/>
        <v>0</v>
      </c>
      <c r="BC21" s="4">
        <f t="shared" si="8"/>
        <v>0</v>
      </c>
      <c r="BD21" s="4">
        <f t="shared" si="8"/>
        <v>0</v>
      </c>
      <c r="BF21" s="2">
        <f t="shared" si="9"/>
        <v>140</v>
      </c>
      <c r="BG21" s="1">
        <f t="shared" si="15"/>
        <v>7.8622314399652424E-6</v>
      </c>
      <c r="BH21" s="1">
        <f t="shared" si="10"/>
        <v>6.9244133469841787E-6</v>
      </c>
      <c r="BI21" s="1">
        <f t="shared" si="10"/>
        <v>5.3710266407220473E-6</v>
      </c>
      <c r="BJ21" s="1">
        <f t="shared" si="10"/>
        <v>4.7303629818086123E-6</v>
      </c>
      <c r="BK21" s="1">
        <f t="shared" si="10"/>
        <v>3.6691780693082081E-6</v>
      </c>
      <c r="BL21" s="1">
        <f t="shared" si="10"/>
        <v>2.2075849897387706E-6</v>
      </c>
      <c r="BM21" s="1">
        <f t="shared" si="10"/>
        <v>1.3282079514442266E-6</v>
      </c>
      <c r="BN21" s="1">
        <f t="shared" si="10"/>
        <v>7.9912500333154581E-7</v>
      </c>
      <c r="BO21" s="1">
        <f t="shared" si="10"/>
        <v>3.7293889899442073E-7</v>
      </c>
      <c r="BP21" s="1">
        <f t="shared" si="10"/>
        <v>2.2438112840487237E-7</v>
      </c>
      <c r="BQ21" s="1">
        <f t="shared" si="10"/>
        <v>0</v>
      </c>
      <c r="BR21" s="1">
        <f t="shared" si="10"/>
        <v>0</v>
      </c>
      <c r="BS21" s="1">
        <f t="shared" si="10"/>
        <v>0</v>
      </c>
      <c r="BT21" s="1">
        <f t="shared" si="10"/>
        <v>0</v>
      </c>
      <c r="BU21" s="1">
        <f t="shared" si="10"/>
        <v>0</v>
      </c>
      <c r="BV21" s="1">
        <f t="shared" si="10"/>
        <v>0</v>
      </c>
      <c r="BW21" s="1">
        <f t="shared" si="10"/>
        <v>0</v>
      </c>
      <c r="BX21" s="1">
        <f t="shared" si="11"/>
        <v>0</v>
      </c>
      <c r="BY21" s="1">
        <f t="shared" si="11"/>
        <v>0</v>
      </c>
      <c r="BZ21" s="1">
        <f t="shared" si="11"/>
        <v>0</v>
      </c>
      <c r="CA21" s="1">
        <f t="shared" si="11"/>
        <v>0</v>
      </c>
      <c r="CB21" s="1">
        <f t="shared" si="11"/>
        <v>0</v>
      </c>
      <c r="CC21" s="1">
        <f t="shared" si="11"/>
        <v>0</v>
      </c>
      <c r="CD21" s="1">
        <f t="shared" si="11"/>
        <v>0</v>
      </c>
      <c r="CE21" s="1">
        <f t="shared" si="11"/>
        <v>0</v>
      </c>
      <c r="CF21" s="1">
        <f t="shared" si="11"/>
        <v>0</v>
      </c>
      <c r="CG21" s="1">
        <f t="shared" si="11"/>
        <v>0</v>
      </c>
      <c r="CH21" s="1">
        <f t="shared" si="11"/>
        <v>0</v>
      </c>
      <c r="CI21" s="1">
        <f t="shared" si="11"/>
        <v>0</v>
      </c>
      <c r="CJ21" s="1">
        <f t="shared" si="11"/>
        <v>0</v>
      </c>
      <c r="CK21" s="1">
        <f t="shared" si="11"/>
        <v>0</v>
      </c>
      <c r="CL21" s="1">
        <f t="shared" si="11"/>
        <v>0</v>
      </c>
      <c r="CM21" s="1">
        <f t="shared" si="11"/>
        <v>0</v>
      </c>
      <c r="CN21" s="1">
        <f t="shared" si="12"/>
        <v>0</v>
      </c>
      <c r="CO21" s="1">
        <f t="shared" si="12"/>
        <v>0</v>
      </c>
      <c r="CP21" s="1">
        <f t="shared" si="12"/>
        <v>0</v>
      </c>
      <c r="CQ21" s="1">
        <f t="shared" si="12"/>
        <v>0</v>
      </c>
      <c r="CR21" s="1">
        <f t="shared" si="12"/>
        <v>0</v>
      </c>
      <c r="CS21" s="1">
        <f t="shared" si="12"/>
        <v>0</v>
      </c>
      <c r="CT21" s="1">
        <f t="shared" si="12"/>
        <v>0</v>
      </c>
      <c r="CU21" s="1">
        <f t="shared" si="12"/>
        <v>0</v>
      </c>
      <c r="CV21" s="1">
        <f t="shared" si="12"/>
        <v>0</v>
      </c>
      <c r="CW21" s="1">
        <f t="shared" si="12"/>
        <v>0</v>
      </c>
      <c r="CX21" s="1">
        <f t="shared" si="12"/>
        <v>0</v>
      </c>
      <c r="CY21" s="1">
        <f t="shared" si="12"/>
        <v>0</v>
      </c>
      <c r="CZ21" s="1">
        <f t="shared" si="12"/>
        <v>0</v>
      </c>
      <c r="DA21" s="1">
        <f t="shared" si="12"/>
        <v>0</v>
      </c>
      <c r="DB21" s="1">
        <f t="shared" si="12"/>
        <v>0</v>
      </c>
      <c r="DC21" s="1">
        <f t="shared" si="12"/>
        <v>0</v>
      </c>
      <c r="DD21" s="1">
        <f t="shared" si="13"/>
        <v>0</v>
      </c>
    </row>
    <row r="22" spans="1:108" x14ac:dyDescent="0.2">
      <c r="A22">
        <v>160</v>
      </c>
      <c r="B22" s="1">
        <f t="shared" si="14"/>
        <v>3.9960431125576405E-5</v>
      </c>
      <c r="C22" s="3">
        <f t="shared" si="2"/>
        <v>1.9795505559087672E-6</v>
      </c>
      <c r="D22" s="5">
        <f t="shared" si="3"/>
        <v>8.4228757273360966</v>
      </c>
      <c r="F22" s="1">
        <f t="shared" si="4"/>
        <v>3.9960431125576405E-5</v>
      </c>
      <c r="G22" s="4">
        <f t="shared" si="5"/>
        <v>15.241079927432668</v>
      </c>
      <c r="H22" s="4">
        <f t="shared" si="5"/>
        <v>13.692549688420399</v>
      </c>
      <c r="I22" s="4">
        <f t="shared" si="5"/>
        <v>12.429665855413177</v>
      </c>
      <c r="J22" s="4">
        <f t="shared" si="5"/>
        <v>11.380065786248164</v>
      </c>
      <c r="K22" s="4">
        <f t="shared" si="5"/>
        <v>10.493925702419951</v>
      </c>
      <c r="L22" s="4">
        <f t="shared" si="5"/>
        <v>9.7358193816777945</v>
      </c>
      <c r="M22" s="4">
        <f t="shared" si="5"/>
        <v>9.0798679770194433</v>
      </c>
      <c r="N22" s="4">
        <f t="shared" si="5"/>
        <v>8.5067267601760541</v>
      </c>
      <c r="O22" s="4">
        <f t="shared" si="5"/>
        <v>8.0016453261107792</v>
      </c>
      <c r="P22" s="4">
        <f t="shared" si="5"/>
        <v>7.5531801114631456</v>
      </c>
      <c r="Q22" s="4">
        <f t="shared" si="5"/>
        <v>0</v>
      </c>
      <c r="R22" s="4">
        <f t="shared" si="5"/>
        <v>0</v>
      </c>
      <c r="S22" s="4">
        <f t="shared" si="5"/>
        <v>0</v>
      </c>
      <c r="T22" s="4">
        <f t="shared" si="5"/>
        <v>0</v>
      </c>
      <c r="U22" s="4">
        <f t="shared" si="5"/>
        <v>0</v>
      </c>
      <c r="V22" s="4">
        <f t="shared" si="5"/>
        <v>0</v>
      </c>
      <c r="W22" s="4">
        <f t="shared" si="6"/>
        <v>0</v>
      </c>
      <c r="X22" s="4">
        <f t="shared" si="6"/>
        <v>0</v>
      </c>
      <c r="Y22" s="4">
        <f t="shared" si="6"/>
        <v>0</v>
      </c>
      <c r="Z22" s="4">
        <f t="shared" si="6"/>
        <v>0</v>
      </c>
      <c r="AA22" s="4">
        <f t="shared" si="6"/>
        <v>0</v>
      </c>
      <c r="AB22" s="4">
        <f t="shared" si="6"/>
        <v>0</v>
      </c>
      <c r="AC22" s="4">
        <f t="shared" si="6"/>
        <v>0</v>
      </c>
      <c r="AD22" s="4">
        <f t="shared" si="6"/>
        <v>0</v>
      </c>
      <c r="AE22" s="4">
        <f t="shared" si="6"/>
        <v>0</v>
      </c>
      <c r="AF22" s="4">
        <f t="shared" si="6"/>
        <v>0</v>
      </c>
      <c r="AG22" s="4">
        <f t="shared" si="6"/>
        <v>0</v>
      </c>
      <c r="AH22" s="4">
        <f t="shared" si="6"/>
        <v>0</v>
      </c>
      <c r="AI22" s="4">
        <f t="shared" si="6"/>
        <v>0</v>
      </c>
      <c r="AJ22" s="4">
        <f t="shared" si="6"/>
        <v>0</v>
      </c>
      <c r="AK22" s="4">
        <f t="shared" si="6"/>
        <v>0</v>
      </c>
      <c r="AL22" s="4">
        <f t="shared" si="6"/>
        <v>0</v>
      </c>
      <c r="AM22" s="4">
        <f t="shared" si="7"/>
        <v>0</v>
      </c>
      <c r="AN22" s="4">
        <f t="shared" si="7"/>
        <v>0</v>
      </c>
      <c r="AO22" s="4">
        <f t="shared" si="7"/>
        <v>0</v>
      </c>
      <c r="AP22" s="4">
        <f t="shared" si="7"/>
        <v>0</v>
      </c>
      <c r="AQ22" s="4">
        <f t="shared" si="7"/>
        <v>0</v>
      </c>
      <c r="AR22" s="4">
        <f t="shared" si="7"/>
        <v>0</v>
      </c>
      <c r="AS22" s="4">
        <f t="shared" si="7"/>
        <v>0</v>
      </c>
      <c r="AT22" s="4">
        <f t="shared" si="7"/>
        <v>0</v>
      </c>
      <c r="AU22" s="4">
        <f t="shared" si="7"/>
        <v>0</v>
      </c>
      <c r="AV22" s="4">
        <f t="shared" si="7"/>
        <v>0</v>
      </c>
      <c r="AW22" s="4">
        <f t="shared" si="7"/>
        <v>0</v>
      </c>
      <c r="AX22" s="4">
        <f t="shared" si="7"/>
        <v>0</v>
      </c>
      <c r="AY22" s="4">
        <f t="shared" si="8"/>
        <v>0</v>
      </c>
      <c r="AZ22" s="4">
        <f t="shared" si="8"/>
        <v>0</v>
      </c>
      <c r="BA22" s="4">
        <f t="shared" si="8"/>
        <v>0</v>
      </c>
      <c r="BB22" s="4">
        <f t="shared" si="8"/>
        <v>0</v>
      </c>
      <c r="BC22" s="4">
        <f t="shared" si="8"/>
        <v>0</v>
      </c>
      <c r="BD22" s="4">
        <f t="shared" si="8"/>
        <v>0</v>
      </c>
      <c r="BF22" s="2">
        <f t="shared" si="9"/>
        <v>160</v>
      </c>
      <c r="BG22" s="1">
        <f t="shared" si="15"/>
        <v>6.0984595233569718E-6</v>
      </c>
      <c r="BH22" s="1">
        <f t="shared" si="10"/>
        <v>5.3710266407220473E-6</v>
      </c>
      <c r="BI22" s="1">
        <f t="shared" si="10"/>
        <v>4.7303629818086123E-6</v>
      </c>
      <c r="BJ22" s="1">
        <f t="shared" si="10"/>
        <v>3.6691780693082081E-6</v>
      </c>
      <c r="BK22" s="1">
        <f t="shared" si="10"/>
        <v>2.2075849897387706E-6</v>
      </c>
      <c r="BL22" s="1">
        <f t="shared" si="10"/>
        <v>1.0302447202596348E-6</v>
      </c>
      <c r="BM22" s="1">
        <f t="shared" si="10"/>
        <v>4.8079878625576716E-7</v>
      </c>
      <c r="BN22" s="1">
        <f t="shared" si="10"/>
        <v>3.7293889899442073E-7</v>
      </c>
      <c r="BO22" s="1">
        <f t="shared" si="10"/>
        <v>1.3500037384139172E-7</v>
      </c>
      <c r="BP22" s="1">
        <f t="shared" si="10"/>
        <v>8.1223858115332338E-8</v>
      </c>
      <c r="BQ22" s="1">
        <f t="shared" si="10"/>
        <v>0</v>
      </c>
      <c r="BR22" s="1">
        <f t="shared" si="10"/>
        <v>0</v>
      </c>
      <c r="BS22" s="1">
        <f t="shared" si="10"/>
        <v>0</v>
      </c>
      <c r="BT22" s="1">
        <f t="shared" si="10"/>
        <v>0</v>
      </c>
      <c r="BU22" s="1">
        <f t="shared" si="10"/>
        <v>0</v>
      </c>
      <c r="BV22" s="1">
        <f t="shared" si="10"/>
        <v>0</v>
      </c>
      <c r="BW22" s="1">
        <f t="shared" si="10"/>
        <v>0</v>
      </c>
      <c r="BX22" s="1">
        <f t="shared" si="11"/>
        <v>0</v>
      </c>
      <c r="BY22" s="1">
        <f t="shared" si="11"/>
        <v>0</v>
      </c>
      <c r="BZ22" s="1">
        <f t="shared" si="11"/>
        <v>0</v>
      </c>
      <c r="CA22" s="1">
        <f t="shared" si="11"/>
        <v>0</v>
      </c>
      <c r="CB22" s="1">
        <f t="shared" si="11"/>
        <v>0</v>
      </c>
      <c r="CC22" s="1">
        <f t="shared" si="11"/>
        <v>0</v>
      </c>
      <c r="CD22" s="1">
        <f t="shared" si="11"/>
        <v>0</v>
      </c>
      <c r="CE22" s="1">
        <f t="shared" si="11"/>
        <v>0</v>
      </c>
      <c r="CF22" s="1">
        <f t="shared" si="11"/>
        <v>0</v>
      </c>
      <c r="CG22" s="1">
        <f t="shared" si="11"/>
        <v>0</v>
      </c>
      <c r="CH22" s="1">
        <f t="shared" si="11"/>
        <v>0</v>
      </c>
      <c r="CI22" s="1">
        <f t="shared" si="11"/>
        <v>0</v>
      </c>
      <c r="CJ22" s="1">
        <f t="shared" si="11"/>
        <v>0</v>
      </c>
      <c r="CK22" s="1">
        <f t="shared" si="11"/>
        <v>0</v>
      </c>
      <c r="CL22" s="1">
        <f t="shared" si="11"/>
        <v>0</v>
      </c>
      <c r="CM22" s="1">
        <f t="shared" si="11"/>
        <v>0</v>
      </c>
      <c r="CN22" s="1">
        <f t="shared" si="12"/>
        <v>0</v>
      </c>
      <c r="CO22" s="1">
        <f t="shared" si="12"/>
        <v>0</v>
      </c>
      <c r="CP22" s="1">
        <f t="shared" si="12"/>
        <v>0</v>
      </c>
      <c r="CQ22" s="1">
        <f t="shared" si="12"/>
        <v>0</v>
      </c>
      <c r="CR22" s="1">
        <f t="shared" si="12"/>
        <v>0</v>
      </c>
      <c r="CS22" s="1">
        <f t="shared" si="12"/>
        <v>0</v>
      </c>
      <c r="CT22" s="1">
        <f t="shared" si="12"/>
        <v>0</v>
      </c>
      <c r="CU22" s="1">
        <f t="shared" si="12"/>
        <v>0</v>
      </c>
      <c r="CV22" s="1">
        <f t="shared" si="12"/>
        <v>0</v>
      </c>
      <c r="CW22" s="1">
        <f t="shared" si="12"/>
        <v>0</v>
      </c>
      <c r="CX22" s="1">
        <f t="shared" si="12"/>
        <v>0</v>
      </c>
      <c r="CY22" s="1">
        <f t="shared" si="12"/>
        <v>0</v>
      </c>
      <c r="CZ22" s="1">
        <f t="shared" si="12"/>
        <v>0</v>
      </c>
      <c r="DA22" s="1">
        <f t="shared" si="12"/>
        <v>0</v>
      </c>
      <c r="DB22" s="1">
        <f t="shared" si="12"/>
        <v>0</v>
      </c>
      <c r="DC22" s="1">
        <f t="shared" si="12"/>
        <v>0</v>
      </c>
      <c r="DD22" s="1">
        <f t="shared" si="13"/>
        <v>0</v>
      </c>
    </row>
    <row r="23" spans="1:108" x14ac:dyDescent="0.2">
      <c r="A23">
        <v>180</v>
      </c>
      <c r="B23" s="1">
        <f t="shared" si="14"/>
        <v>3.7980880569667637E-5</v>
      </c>
      <c r="C23" s="3">
        <f t="shared" si="2"/>
        <v>1.8814880402395328E-6</v>
      </c>
      <c r="D23" s="5">
        <f t="shared" si="3"/>
        <v>8.8291593673523412</v>
      </c>
      <c r="F23" s="1">
        <f t="shared" si="4"/>
        <v>3.7980880569667637E-5</v>
      </c>
      <c r="G23" s="4">
        <f t="shared" si="5"/>
        <v>17.891069750543231</v>
      </c>
      <c r="H23" s="4">
        <f t="shared" si="5"/>
        <v>16.080767015493006</v>
      </c>
      <c r="I23" s="4">
        <f t="shared" si="5"/>
        <v>14.603151355409439</v>
      </c>
      <c r="J23" s="4">
        <f t="shared" si="5"/>
        <v>13.374231498266905</v>
      </c>
      <c r="K23" s="4">
        <f t="shared" si="5"/>
        <v>12.336094514066714</v>
      </c>
      <c r="L23" s="4">
        <f t="shared" si="5"/>
        <v>11.44751357254963</v>
      </c>
      <c r="M23" s="4">
        <f t="shared" si="5"/>
        <v>10.678342153372697</v>
      </c>
      <c r="N23" s="4">
        <f t="shared" si="5"/>
        <v>10.006025924041344</v>
      </c>
      <c r="O23" s="4">
        <f t="shared" si="5"/>
        <v>9.4133542575154561</v>
      </c>
      <c r="P23" s="4">
        <f t="shared" si="5"/>
        <v>8.8869661510781572</v>
      </c>
      <c r="Q23" s="4">
        <f t="shared" si="5"/>
        <v>0</v>
      </c>
      <c r="R23" s="4">
        <f t="shared" si="5"/>
        <v>0</v>
      </c>
      <c r="S23" s="4">
        <f t="shared" si="5"/>
        <v>0</v>
      </c>
      <c r="T23" s="4">
        <f t="shared" si="5"/>
        <v>0</v>
      </c>
      <c r="U23" s="4">
        <f t="shared" si="5"/>
        <v>0</v>
      </c>
      <c r="V23" s="4">
        <f t="shared" si="5"/>
        <v>0</v>
      </c>
      <c r="W23" s="4">
        <f t="shared" si="6"/>
        <v>0</v>
      </c>
      <c r="X23" s="4">
        <f t="shared" si="6"/>
        <v>0</v>
      </c>
      <c r="Y23" s="4">
        <f t="shared" si="6"/>
        <v>0</v>
      </c>
      <c r="Z23" s="4">
        <f t="shared" si="6"/>
        <v>0</v>
      </c>
      <c r="AA23" s="4">
        <f t="shared" si="6"/>
        <v>0</v>
      </c>
      <c r="AB23" s="4">
        <f t="shared" si="6"/>
        <v>0</v>
      </c>
      <c r="AC23" s="4">
        <f t="shared" si="6"/>
        <v>0</v>
      </c>
      <c r="AD23" s="4">
        <f t="shared" si="6"/>
        <v>0</v>
      </c>
      <c r="AE23" s="4">
        <f t="shared" si="6"/>
        <v>0</v>
      </c>
      <c r="AF23" s="4">
        <f t="shared" si="6"/>
        <v>0</v>
      </c>
      <c r="AG23" s="4">
        <f t="shared" si="6"/>
        <v>0</v>
      </c>
      <c r="AH23" s="4">
        <f t="shared" si="6"/>
        <v>0</v>
      </c>
      <c r="AI23" s="4">
        <f t="shared" si="6"/>
        <v>0</v>
      </c>
      <c r="AJ23" s="4">
        <f t="shared" si="6"/>
        <v>0</v>
      </c>
      <c r="AK23" s="4">
        <f t="shared" si="6"/>
        <v>0</v>
      </c>
      <c r="AL23" s="4">
        <f t="shared" si="6"/>
        <v>0</v>
      </c>
      <c r="AM23" s="4">
        <f t="shared" si="7"/>
        <v>0</v>
      </c>
      <c r="AN23" s="4">
        <f t="shared" si="7"/>
        <v>0</v>
      </c>
      <c r="AO23" s="4">
        <f t="shared" si="7"/>
        <v>0</v>
      </c>
      <c r="AP23" s="4">
        <f t="shared" si="7"/>
        <v>0</v>
      </c>
      <c r="AQ23" s="4">
        <f t="shared" si="7"/>
        <v>0</v>
      </c>
      <c r="AR23" s="4">
        <f t="shared" si="7"/>
        <v>0</v>
      </c>
      <c r="AS23" s="4">
        <f t="shared" si="7"/>
        <v>0</v>
      </c>
      <c r="AT23" s="4">
        <f t="shared" si="7"/>
        <v>0</v>
      </c>
      <c r="AU23" s="4">
        <f t="shared" si="7"/>
        <v>0</v>
      </c>
      <c r="AV23" s="4">
        <f t="shared" si="7"/>
        <v>0</v>
      </c>
      <c r="AW23" s="4">
        <f t="shared" si="7"/>
        <v>0</v>
      </c>
      <c r="AX23" s="4">
        <f t="shared" si="7"/>
        <v>0</v>
      </c>
      <c r="AY23" s="4">
        <f t="shared" si="8"/>
        <v>0</v>
      </c>
      <c r="AZ23" s="4">
        <f t="shared" si="8"/>
        <v>0</v>
      </c>
      <c r="BA23" s="4">
        <f t="shared" si="8"/>
        <v>0</v>
      </c>
      <c r="BB23" s="4">
        <f t="shared" si="8"/>
        <v>0</v>
      </c>
      <c r="BC23" s="4">
        <f t="shared" si="8"/>
        <v>0</v>
      </c>
      <c r="BD23" s="4">
        <f t="shared" si="8"/>
        <v>0</v>
      </c>
      <c r="BF23" s="2">
        <f t="shared" si="9"/>
        <v>180</v>
      </c>
      <c r="BG23" s="1">
        <f t="shared" si="15"/>
        <v>4.7303629818086123E-6</v>
      </c>
      <c r="BH23" s="1">
        <f t="shared" si="10"/>
        <v>4.7303629818086123E-6</v>
      </c>
      <c r="BI23" s="1">
        <f t="shared" si="10"/>
        <v>3.6691780693082081E-6</v>
      </c>
      <c r="BJ23" s="1">
        <f t="shared" si="10"/>
        <v>1.712346909028647E-6</v>
      </c>
      <c r="BK23" s="1">
        <f t="shared" si="10"/>
        <v>1.0302447202596348E-6</v>
      </c>
      <c r="BL23" s="1">
        <f t="shared" si="10"/>
        <v>4.8079878625576716E-7</v>
      </c>
      <c r="BM23" s="1">
        <f t="shared" si="10"/>
        <v>2.2438112840487237E-7</v>
      </c>
      <c r="BN23" s="1">
        <f t="shared" si="10"/>
        <v>8.1223858115332338E-8</v>
      </c>
      <c r="BO23" s="1">
        <f t="shared" si="10"/>
        <v>0</v>
      </c>
      <c r="BP23" s="1">
        <f t="shared" si="10"/>
        <v>0</v>
      </c>
      <c r="BQ23" s="1">
        <f t="shared" si="10"/>
        <v>0</v>
      </c>
      <c r="BR23" s="1">
        <f t="shared" si="10"/>
        <v>0</v>
      </c>
      <c r="BS23" s="1">
        <f t="shared" si="10"/>
        <v>0</v>
      </c>
      <c r="BT23" s="1">
        <f t="shared" si="10"/>
        <v>0</v>
      </c>
      <c r="BU23" s="1">
        <f t="shared" si="10"/>
        <v>0</v>
      </c>
      <c r="BV23" s="1">
        <f t="shared" si="10"/>
        <v>0</v>
      </c>
      <c r="BW23" s="1">
        <f t="shared" si="10"/>
        <v>0</v>
      </c>
      <c r="BX23" s="1">
        <f t="shared" si="11"/>
        <v>0</v>
      </c>
      <c r="BY23" s="1">
        <f t="shared" si="11"/>
        <v>0</v>
      </c>
      <c r="BZ23" s="1">
        <f t="shared" si="11"/>
        <v>0</v>
      </c>
      <c r="CA23" s="1">
        <f t="shared" si="11"/>
        <v>0</v>
      </c>
      <c r="CB23" s="1">
        <f t="shared" si="11"/>
        <v>0</v>
      </c>
      <c r="CC23" s="1">
        <f t="shared" si="11"/>
        <v>0</v>
      </c>
      <c r="CD23" s="1">
        <f t="shared" si="11"/>
        <v>0</v>
      </c>
      <c r="CE23" s="1">
        <f t="shared" si="11"/>
        <v>0</v>
      </c>
      <c r="CF23" s="1">
        <f t="shared" si="11"/>
        <v>0</v>
      </c>
      <c r="CG23" s="1">
        <f t="shared" si="11"/>
        <v>0</v>
      </c>
      <c r="CH23" s="1">
        <f t="shared" si="11"/>
        <v>0</v>
      </c>
      <c r="CI23" s="1">
        <f t="shared" si="11"/>
        <v>0</v>
      </c>
      <c r="CJ23" s="1">
        <f t="shared" si="11"/>
        <v>0</v>
      </c>
      <c r="CK23" s="1">
        <f t="shared" si="11"/>
        <v>0</v>
      </c>
      <c r="CL23" s="1">
        <f t="shared" si="11"/>
        <v>0</v>
      </c>
      <c r="CM23" s="1">
        <f t="shared" si="11"/>
        <v>0</v>
      </c>
      <c r="CN23" s="1">
        <f t="shared" si="12"/>
        <v>0</v>
      </c>
      <c r="CO23" s="1">
        <f t="shared" si="12"/>
        <v>0</v>
      </c>
      <c r="CP23" s="1">
        <f t="shared" si="12"/>
        <v>0</v>
      </c>
      <c r="CQ23" s="1">
        <f t="shared" si="12"/>
        <v>0</v>
      </c>
      <c r="CR23" s="1">
        <f t="shared" si="12"/>
        <v>0</v>
      </c>
      <c r="CS23" s="1">
        <f t="shared" si="12"/>
        <v>0</v>
      </c>
      <c r="CT23" s="1">
        <f t="shared" si="12"/>
        <v>0</v>
      </c>
      <c r="CU23" s="1">
        <f t="shared" si="12"/>
        <v>0</v>
      </c>
      <c r="CV23" s="1">
        <f t="shared" si="12"/>
        <v>0</v>
      </c>
      <c r="CW23" s="1">
        <f t="shared" si="12"/>
        <v>0</v>
      </c>
      <c r="CX23" s="1">
        <f t="shared" si="12"/>
        <v>0</v>
      </c>
      <c r="CY23" s="1">
        <f t="shared" si="12"/>
        <v>0</v>
      </c>
      <c r="CZ23" s="1">
        <f t="shared" si="12"/>
        <v>0</v>
      </c>
      <c r="DA23" s="1">
        <f t="shared" si="12"/>
        <v>0</v>
      </c>
      <c r="DB23" s="1">
        <f t="shared" si="12"/>
        <v>0</v>
      </c>
      <c r="DC23" s="1">
        <f t="shared" si="12"/>
        <v>0</v>
      </c>
      <c r="DD23" s="1">
        <f t="shared" si="13"/>
        <v>0</v>
      </c>
    </row>
    <row r="24" spans="1:108" x14ac:dyDescent="0.2">
      <c r="A24">
        <v>200</v>
      </c>
      <c r="B24" s="1">
        <f t="shared" si="14"/>
        <v>3.6099392529428105E-5</v>
      </c>
      <c r="C24" s="3">
        <f t="shared" si="2"/>
        <v>1.7882833226956374E-6</v>
      </c>
      <c r="D24" s="5">
        <f t="shared" si="3"/>
        <v>9.2091706747578872</v>
      </c>
      <c r="F24" s="1">
        <f t="shared" si="4"/>
        <v>3.6099392529428105E-5</v>
      </c>
      <c r="G24" s="4">
        <f t="shared" si="5"/>
        <v>20.646242096192161</v>
      </c>
      <c r="H24" s="4">
        <f t="shared" si="5"/>
        <v>18.565160079704217</v>
      </c>
      <c r="I24" s="4">
        <f t="shared" si="5"/>
        <v>16.865196609146036</v>
      </c>
      <c r="J24" s="4">
        <f t="shared" si="5"/>
        <v>15.450439966373992</v>
      </c>
      <c r="K24" s="4">
        <f t="shared" si="5"/>
        <v>14.254670356083288</v>
      </c>
      <c r="L24" s="4">
        <f t="shared" si="5"/>
        <v>13.230695406229783</v>
      </c>
      <c r="M24" s="4">
        <f t="shared" si="5"/>
        <v>12.343974077614556</v>
      </c>
      <c r="N24" s="4">
        <f t="shared" si="5"/>
        <v>11.568643484200965</v>
      </c>
      <c r="O24" s="4">
        <f t="shared" si="5"/>
        <v>10.884954566037221</v>
      </c>
      <c r="P24" s="4">
        <f t="shared" si="5"/>
        <v>10.277566309897582</v>
      </c>
      <c r="Q24" s="4">
        <f t="shared" si="5"/>
        <v>0</v>
      </c>
      <c r="R24" s="4">
        <f t="shared" si="5"/>
        <v>0</v>
      </c>
      <c r="S24" s="4">
        <f t="shared" si="5"/>
        <v>0</v>
      </c>
      <c r="T24" s="4">
        <f t="shared" si="5"/>
        <v>0</v>
      </c>
      <c r="U24" s="4">
        <f t="shared" si="5"/>
        <v>0</v>
      </c>
      <c r="V24" s="4">
        <f t="shared" si="5"/>
        <v>0</v>
      </c>
      <c r="W24" s="4">
        <f t="shared" si="6"/>
        <v>0</v>
      </c>
      <c r="X24" s="4">
        <f t="shared" si="6"/>
        <v>0</v>
      </c>
      <c r="Y24" s="4">
        <f t="shared" si="6"/>
        <v>0</v>
      </c>
      <c r="Z24" s="4">
        <f t="shared" si="6"/>
        <v>0</v>
      </c>
      <c r="AA24" s="4">
        <f t="shared" si="6"/>
        <v>0</v>
      </c>
      <c r="AB24" s="4">
        <f t="shared" si="6"/>
        <v>0</v>
      </c>
      <c r="AC24" s="4">
        <f t="shared" si="6"/>
        <v>0</v>
      </c>
      <c r="AD24" s="4">
        <f t="shared" si="6"/>
        <v>0</v>
      </c>
      <c r="AE24" s="4">
        <f t="shared" si="6"/>
        <v>0</v>
      </c>
      <c r="AF24" s="4">
        <f t="shared" si="6"/>
        <v>0</v>
      </c>
      <c r="AG24" s="4">
        <f t="shared" si="6"/>
        <v>0</v>
      </c>
      <c r="AH24" s="4">
        <f t="shared" si="6"/>
        <v>0</v>
      </c>
      <c r="AI24" s="4">
        <f t="shared" si="6"/>
        <v>0</v>
      </c>
      <c r="AJ24" s="4">
        <f t="shared" si="6"/>
        <v>0</v>
      </c>
      <c r="AK24" s="4">
        <f t="shared" si="6"/>
        <v>0</v>
      </c>
      <c r="AL24" s="4">
        <f t="shared" si="6"/>
        <v>0</v>
      </c>
      <c r="AM24" s="4">
        <f t="shared" si="7"/>
        <v>0</v>
      </c>
      <c r="AN24" s="4">
        <f t="shared" si="7"/>
        <v>0</v>
      </c>
      <c r="AO24" s="4">
        <f t="shared" si="7"/>
        <v>0</v>
      </c>
      <c r="AP24" s="4">
        <f t="shared" si="7"/>
        <v>0</v>
      </c>
      <c r="AQ24" s="4">
        <f t="shared" si="7"/>
        <v>0</v>
      </c>
      <c r="AR24" s="4">
        <f t="shared" si="7"/>
        <v>0</v>
      </c>
      <c r="AS24" s="4">
        <f t="shared" si="7"/>
        <v>0</v>
      </c>
      <c r="AT24" s="4">
        <f t="shared" si="7"/>
        <v>0</v>
      </c>
      <c r="AU24" s="4">
        <f t="shared" si="7"/>
        <v>0</v>
      </c>
      <c r="AV24" s="4">
        <f t="shared" si="7"/>
        <v>0</v>
      </c>
      <c r="AW24" s="4">
        <f t="shared" si="7"/>
        <v>0</v>
      </c>
      <c r="AX24" s="4">
        <f t="shared" si="7"/>
        <v>0</v>
      </c>
      <c r="AY24" s="4">
        <f t="shared" si="8"/>
        <v>0</v>
      </c>
      <c r="AZ24" s="4">
        <f t="shared" si="8"/>
        <v>0</v>
      </c>
      <c r="BA24" s="4">
        <f t="shared" si="8"/>
        <v>0</v>
      </c>
      <c r="BB24" s="4">
        <f t="shared" si="8"/>
        <v>0</v>
      </c>
      <c r="BC24" s="4">
        <f t="shared" si="8"/>
        <v>0</v>
      </c>
      <c r="BD24" s="4">
        <f t="shared" si="8"/>
        <v>0</v>
      </c>
      <c r="BF24" s="2">
        <f t="shared" si="9"/>
        <v>200</v>
      </c>
      <c r="BG24" s="1">
        <f t="shared" si="15"/>
        <v>4.7303629818086123E-6</v>
      </c>
      <c r="BH24" s="1">
        <f t="shared" si="10"/>
        <v>3.6691780693082081E-6</v>
      </c>
      <c r="BI24" s="1">
        <f t="shared" si="10"/>
        <v>2.2075849897387706E-6</v>
      </c>
      <c r="BJ24" s="1">
        <f t="shared" si="10"/>
        <v>1.0302447202596348E-6</v>
      </c>
      <c r="BK24" s="1">
        <f t="shared" si="10"/>
        <v>3.7293889899442073E-7</v>
      </c>
      <c r="BL24" s="1">
        <f t="shared" si="10"/>
        <v>2.2438112840487237E-7</v>
      </c>
      <c r="BM24" s="1">
        <f t="shared" si="10"/>
        <v>8.1223858115332338E-8</v>
      </c>
      <c r="BN24" s="1">
        <f t="shared" si="10"/>
        <v>0</v>
      </c>
      <c r="BO24" s="1">
        <f t="shared" si="10"/>
        <v>0</v>
      </c>
      <c r="BP24" s="1">
        <f t="shared" si="10"/>
        <v>0</v>
      </c>
      <c r="BQ24" s="1">
        <f t="shared" si="10"/>
        <v>0</v>
      </c>
      <c r="BR24" s="1">
        <f t="shared" si="10"/>
        <v>0</v>
      </c>
      <c r="BS24" s="1">
        <f t="shared" si="10"/>
        <v>0</v>
      </c>
      <c r="BT24" s="1">
        <f t="shared" si="10"/>
        <v>0</v>
      </c>
      <c r="BU24" s="1">
        <f t="shared" si="10"/>
        <v>0</v>
      </c>
      <c r="BV24" s="1">
        <f t="shared" si="10"/>
        <v>0</v>
      </c>
      <c r="BW24" s="1">
        <f t="shared" si="10"/>
        <v>0</v>
      </c>
      <c r="BX24" s="1">
        <f t="shared" si="11"/>
        <v>0</v>
      </c>
      <c r="BY24" s="1">
        <f t="shared" si="11"/>
        <v>0</v>
      </c>
      <c r="BZ24" s="1">
        <f t="shared" si="11"/>
        <v>0</v>
      </c>
      <c r="CA24" s="1">
        <f t="shared" si="11"/>
        <v>0</v>
      </c>
      <c r="CB24" s="1">
        <f t="shared" si="11"/>
        <v>0</v>
      </c>
      <c r="CC24" s="1">
        <f t="shared" si="11"/>
        <v>0</v>
      </c>
      <c r="CD24" s="1">
        <f t="shared" si="11"/>
        <v>0</v>
      </c>
      <c r="CE24" s="1">
        <f t="shared" si="11"/>
        <v>0</v>
      </c>
      <c r="CF24" s="1">
        <f t="shared" si="11"/>
        <v>0</v>
      </c>
      <c r="CG24" s="1">
        <f t="shared" si="11"/>
        <v>0</v>
      </c>
      <c r="CH24" s="1">
        <f t="shared" si="11"/>
        <v>0</v>
      </c>
      <c r="CI24" s="1">
        <f t="shared" si="11"/>
        <v>0</v>
      </c>
      <c r="CJ24" s="1">
        <f t="shared" si="11"/>
        <v>0</v>
      </c>
      <c r="CK24" s="1">
        <f t="shared" si="11"/>
        <v>0</v>
      </c>
      <c r="CL24" s="1">
        <f t="shared" si="11"/>
        <v>0</v>
      </c>
      <c r="CM24" s="1">
        <f t="shared" si="11"/>
        <v>0</v>
      </c>
      <c r="CN24" s="1">
        <f t="shared" si="12"/>
        <v>0</v>
      </c>
      <c r="CO24" s="1">
        <f t="shared" si="12"/>
        <v>0</v>
      </c>
      <c r="CP24" s="1">
        <f t="shared" si="12"/>
        <v>0</v>
      </c>
      <c r="CQ24" s="1">
        <f t="shared" si="12"/>
        <v>0</v>
      </c>
      <c r="CR24" s="1">
        <f t="shared" si="12"/>
        <v>0</v>
      </c>
      <c r="CS24" s="1">
        <f t="shared" si="12"/>
        <v>0</v>
      </c>
      <c r="CT24" s="1">
        <f t="shared" si="12"/>
        <v>0</v>
      </c>
      <c r="CU24" s="1">
        <f t="shared" si="12"/>
        <v>0</v>
      </c>
      <c r="CV24" s="1">
        <f t="shared" si="12"/>
        <v>0</v>
      </c>
      <c r="CW24" s="1">
        <f t="shared" si="12"/>
        <v>0</v>
      </c>
      <c r="CX24" s="1">
        <f t="shared" si="12"/>
        <v>0</v>
      </c>
      <c r="CY24" s="1">
        <f t="shared" si="12"/>
        <v>0</v>
      </c>
      <c r="CZ24" s="1">
        <f t="shared" si="12"/>
        <v>0</v>
      </c>
      <c r="DA24" s="1">
        <f t="shared" si="12"/>
        <v>0</v>
      </c>
      <c r="DB24" s="1">
        <f t="shared" si="12"/>
        <v>0</v>
      </c>
      <c r="DC24" s="1">
        <f t="shared" si="12"/>
        <v>0</v>
      </c>
      <c r="DD24" s="1">
        <f t="shared" si="13"/>
        <v>0</v>
      </c>
    </row>
    <row r="25" spans="1:108" x14ac:dyDescent="0.2">
      <c r="A25">
        <v>220</v>
      </c>
      <c r="B25" s="1">
        <f t="shared" si="14"/>
        <v>3.4311109206732467E-5</v>
      </c>
      <c r="C25" s="3">
        <f t="shared" si="2"/>
        <v>1.6996957588017396E-6</v>
      </c>
      <c r="D25" s="5">
        <f t="shared" si="3"/>
        <v>9.56700366281793</v>
      </c>
      <c r="F25" s="1">
        <f t="shared" si="4"/>
        <v>3.4311109206732467E-5</v>
      </c>
      <c r="G25" s="4">
        <f t="shared" si="5"/>
        <v>23.499064608026945</v>
      </c>
      <c r="H25" s="4">
        <f t="shared" si="5"/>
        <v>21.138938889309312</v>
      </c>
      <c r="I25" s="4">
        <f t="shared" si="5"/>
        <v>19.209622746434547</v>
      </c>
      <c r="J25" s="4">
        <f t="shared" si="5"/>
        <v>17.60302375524412</v>
      </c>
      <c r="K25" s="4">
        <f t="shared" si="5"/>
        <v>16.244419847025803</v>
      </c>
      <c r="L25" s="4">
        <f t="shared" si="5"/>
        <v>15.080504349758918</v>
      </c>
      <c r="M25" s="4">
        <f t="shared" si="5"/>
        <v>14.07222685669927</v>
      </c>
      <c r="N25" s="4">
        <f t="shared" si="5"/>
        <v>13.19032605429808</v>
      </c>
      <c r="O25" s="4">
        <f t="shared" si="5"/>
        <v>12.412443225128857</v>
      </c>
      <c r="P25" s="4">
        <f t="shared" si="5"/>
        <v>11.721200236609857</v>
      </c>
      <c r="Q25" s="4">
        <f t="shared" si="5"/>
        <v>0</v>
      </c>
      <c r="R25" s="4">
        <f t="shared" si="5"/>
        <v>0</v>
      </c>
      <c r="S25" s="4">
        <f t="shared" si="5"/>
        <v>0</v>
      </c>
      <c r="T25" s="4">
        <f t="shared" si="5"/>
        <v>0</v>
      </c>
      <c r="U25" s="4">
        <f t="shared" si="5"/>
        <v>0</v>
      </c>
      <c r="V25" s="4">
        <f t="shared" ref="V25:AK40" si="16">IF(V$9=0, 0,MIN($D25/($D25+V$9)*$A25, 1000*10^(0.08*(LOG(($D25+V$9)/$D25)+0.2-0.02*$A25/1000)^4-0.592*(LOG(($D25+V$9)/$D25)+0.2-0.02*$A25/1000)^3+1.63*(LOG(($D25+V$9)/$D25)+0.2-0.02*$A25/1000)^2-3.28*(LOG(($D25+V$9)/$D25)+0.2-0.02*$A25/1000)+1.39)))</f>
        <v>0</v>
      </c>
      <c r="W25" s="4">
        <f t="shared" si="16"/>
        <v>0</v>
      </c>
      <c r="X25" s="4">
        <f t="shared" si="16"/>
        <v>0</v>
      </c>
      <c r="Y25" s="4">
        <f t="shared" si="16"/>
        <v>0</v>
      </c>
      <c r="Z25" s="4">
        <f t="shared" si="16"/>
        <v>0</v>
      </c>
      <c r="AA25" s="4">
        <f t="shared" si="16"/>
        <v>0</v>
      </c>
      <c r="AB25" s="4">
        <f t="shared" si="16"/>
        <v>0</v>
      </c>
      <c r="AC25" s="4">
        <f t="shared" si="16"/>
        <v>0</v>
      </c>
      <c r="AD25" s="4">
        <f t="shared" si="16"/>
        <v>0</v>
      </c>
      <c r="AE25" s="4">
        <f t="shared" si="16"/>
        <v>0</v>
      </c>
      <c r="AF25" s="4">
        <f t="shared" si="16"/>
        <v>0</v>
      </c>
      <c r="AG25" s="4">
        <f t="shared" si="16"/>
        <v>0</v>
      </c>
      <c r="AH25" s="4">
        <f t="shared" si="16"/>
        <v>0</v>
      </c>
      <c r="AI25" s="4">
        <f t="shared" si="16"/>
        <v>0</v>
      </c>
      <c r="AJ25" s="4">
        <f t="shared" si="16"/>
        <v>0</v>
      </c>
      <c r="AK25" s="4">
        <f t="shared" si="16"/>
        <v>0</v>
      </c>
      <c r="AL25" s="4">
        <f t="shared" si="6"/>
        <v>0</v>
      </c>
      <c r="AM25" s="4">
        <f t="shared" si="7"/>
        <v>0</v>
      </c>
      <c r="AN25" s="4">
        <f t="shared" si="7"/>
        <v>0</v>
      </c>
      <c r="AO25" s="4">
        <f t="shared" si="7"/>
        <v>0</v>
      </c>
      <c r="AP25" s="4">
        <f t="shared" si="7"/>
        <v>0</v>
      </c>
      <c r="AQ25" s="4">
        <f t="shared" si="7"/>
        <v>0</v>
      </c>
      <c r="AR25" s="4">
        <f t="shared" si="7"/>
        <v>0</v>
      </c>
      <c r="AS25" s="4">
        <f t="shared" si="7"/>
        <v>0</v>
      </c>
      <c r="AT25" s="4">
        <f t="shared" si="7"/>
        <v>0</v>
      </c>
      <c r="AU25" s="4">
        <f t="shared" si="7"/>
        <v>0</v>
      </c>
      <c r="AV25" s="4">
        <f t="shared" si="7"/>
        <v>0</v>
      </c>
      <c r="AW25" s="4">
        <f t="shared" si="7"/>
        <v>0</v>
      </c>
      <c r="AX25" s="4">
        <f t="shared" si="7"/>
        <v>0</v>
      </c>
      <c r="AY25" s="4">
        <f t="shared" si="8"/>
        <v>0</v>
      </c>
      <c r="AZ25" s="4">
        <f t="shared" si="8"/>
        <v>0</v>
      </c>
      <c r="BA25" s="4">
        <f t="shared" si="8"/>
        <v>0</v>
      </c>
      <c r="BB25" s="4">
        <f t="shared" si="8"/>
        <v>0</v>
      </c>
      <c r="BC25" s="4">
        <f t="shared" si="8"/>
        <v>0</v>
      </c>
      <c r="BD25" s="4">
        <f t="shared" si="8"/>
        <v>0</v>
      </c>
      <c r="BF25" s="2">
        <f t="shared" si="9"/>
        <v>220</v>
      </c>
      <c r="BG25" s="1">
        <f t="shared" si="15"/>
        <v>3.6691780693082081E-6</v>
      </c>
      <c r="BH25" s="1">
        <f t="shared" si="10"/>
        <v>2.2075849897387706E-6</v>
      </c>
      <c r="BI25" s="1">
        <f t="shared" si="10"/>
        <v>1.0302447202596348E-6</v>
      </c>
      <c r="BJ25" s="1">
        <f t="shared" si="10"/>
        <v>4.8079878625576716E-7</v>
      </c>
      <c r="BK25" s="1">
        <f t="shared" si="10"/>
        <v>2.2438112840487237E-7</v>
      </c>
      <c r="BL25" s="1">
        <f t="shared" si="10"/>
        <v>8.1223858115332338E-8</v>
      </c>
      <c r="BM25" s="1">
        <f t="shared" si="10"/>
        <v>0</v>
      </c>
      <c r="BN25" s="1">
        <f t="shared" si="10"/>
        <v>0</v>
      </c>
      <c r="BO25" s="1">
        <f t="shared" si="10"/>
        <v>0</v>
      </c>
      <c r="BP25" s="1">
        <f t="shared" si="10"/>
        <v>0</v>
      </c>
      <c r="BQ25" s="1">
        <f t="shared" si="10"/>
        <v>0</v>
      </c>
      <c r="BR25" s="1">
        <f t="shared" si="10"/>
        <v>0</v>
      </c>
      <c r="BS25" s="1">
        <f t="shared" si="10"/>
        <v>0</v>
      </c>
      <c r="BT25" s="1">
        <f t="shared" si="10"/>
        <v>0</v>
      </c>
      <c r="BU25" s="1">
        <f t="shared" si="10"/>
        <v>0</v>
      </c>
      <c r="BV25" s="1">
        <f t="shared" si="10"/>
        <v>0</v>
      </c>
      <c r="BW25" s="1">
        <f t="shared" ref="BW25:CL40" si="17">LOOKUP($A25,W25:W95,$B25:$B95)</f>
        <v>0</v>
      </c>
      <c r="BX25" s="1">
        <f t="shared" si="17"/>
        <v>0</v>
      </c>
      <c r="BY25" s="1">
        <f t="shared" si="17"/>
        <v>0</v>
      </c>
      <c r="BZ25" s="1">
        <f t="shared" si="17"/>
        <v>0</v>
      </c>
      <c r="CA25" s="1">
        <f t="shared" si="17"/>
        <v>0</v>
      </c>
      <c r="CB25" s="1">
        <f t="shared" si="17"/>
        <v>0</v>
      </c>
      <c r="CC25" s="1">
        <f t="shared" si="17"/>
        <v>0</v>
      </c>
      <c r="CD25" s="1">
        <f t="shared" si="17"/>
        <v>0</v>
      </c>
      <c r="CE25" s="1">
        <f t="shared" si="17"/>
        <v>0</v>
      </c>
      <c r="CF25" s="1">
        <f t="shared" si="17"/>
        <v>0</v>
      </c>
      <c r="CG25" s="1">
        <f t="shared" si="17"/>
        <v>0</v>
      </c>
      <c r="CH25" s="1">
        <f t="shared" si="17"/>
        <v>0</v>
      </c>
      <c r="CI25" s="1">
        <f t="shared" si="17"/>
        <v>0</v>
      </c>
      <c r="CJ25" s="1">
        <f t="shared" si="17"/>
        <v>0</v>
      </c>
      <c r="CK25" s="1">
        <f t="shared" si="17"/>
        <v>0</v>
      </c>
      <c r="CL25" s="1">
        <f t="shared" si="17"/>
        <v>0</v>
      </c>
      <c r="CM25" s="1">
        <f t="shared" si="11"/>
        <v>0</v>
      </c>
      <c r="CN25" s="1">
        <f t="shared" si="12"/>
        <v>0</v>
      </c>
      <c r="CO25" s="1">
        <f t="shared" si="12"/>
        <v>0</v>
      </c>
      <c r="CP25" s="1">
        <f t="shared" si="12"/>
        <v>0</v>
      </c>
      <c r="CQ25" s="1">
        <f t="shared" si="12"/>
        <v>0</v>
      </c>
      <c r="CR25" s="1">
        <f t="shared" si="12"/>
        <v>0</v>
      </c>
      <c r="CS25" s="1">
        <f t="shared" si="12"/>
        <v>0</v>
      </c>
      <c r="CT25" s="1">
        <f t="shared" si="12"/>
        <v>0</v>
      </c>
      <c r="CU25" s="1">
        <f t="shared" si="12"/>
        <v>0</v>
      </c>
      <c r="CV25" s="1">
        <f t="shared" si="12"/>
        <v>0</v>
      </c>
      <c r="CW25" s="1">
        <f t="shared" si="12"/>
        <v>0</v>
      </c>
      <c r="CX25" s="1">
        <f t="shared" si="12"/>
        <v>0</v>
      </c>
      <c r="CY25" s="1">
        <f t="shared" si="12"/>
        <v>0</v>
      </c>
      <c r="CZ25" s="1">
        <f t="shared" si="12"/>
        <v>0</v>
      </c>
      <c r="DA25" s="1">
        <f t="shared" si="12"/>
        <v>0</v>
      </c>
      <c r="DB25" s="1">
        <f t="shared" si="12"/>
        <v>0</v>
      </c>
      <c r="DC25" s="1">
        <f t="shared" ref="DC25:DD40" si="18">LOOKUP($A25,BC25:BC95,$B25:$B95)</f>
        <v>0</v>
      </c>
      <c r="DD25" s="1">
        <f t="shared" si="18"/>
        <v>0</v>
      </c>
    </row>
    <row r="26" spans="1:108" x14ac:dyDescent="0.2">
      <c r="A26">
        <v>240</v>
      </c>
      <c r="B26" s="1">
        <f t="shared" si="14"/>
        <v>3.2611413447930728E-5</v>
      </c>
      <c r="C26" s="3">
        <f t="shared" si="2"/>
        <v>1.6154966250727279E-6</v>
      </c>
      <c r="D26" s="5">
        <f t="shared" si="3"/>
        <v>9.9058067925885194</v>
      </c>
      <c r="F26" s="1">
        <f t="shared" si="4"/>
        <v>3.2611413447930728E-5</v>
      </c>
      <c r="G26" s="4">
        <f t="shared" ref="G26:V41" si="19">IF(G$9=0, 0,MIN($D26/($D26+G$9)*$A26, 1000*10^(0.08*(LOG(($D26+G$9)/$D26)+0.2-0.02*$A26/1000)^4-0.592*(LOG(($D26+G$9)/$D26)+0.2-0.02*$A26/1000)^3+1.63*(LOG(($D26+G$9)/$D26)+0.2-0.02*$A26/1000)^2-3.28*(LOG(($D26+G$9)/$D26)+0.2-0.02*$A26/1000)+1.39)))</f>
        <v>26.443159958575972</v>
      </c>
      <c r="H26" s="4">
        <f t="shared" si="19"/>
        <v>23.796350848323371</v>
      </c>
      <c r="I26" s="4">
        <f t="shared" si="19"/>
        <v>21.631192196312266</v>
      </c>
      <c r="J26" s="4">
        <f t="shared" si="19"/>
        <v>19.82717679664696</v>
      </c>
      <c r="K26" s="4">
        <f t="shared" si="19"/>
        <v>18.300903469365785</v>
      </c>
      <c r="L26" s="4">
        <f t="shared" si="19"/>
        <v>16.992815986156671</v>
      </c>
      <c r="M26" s="4">
        <f t="shared" si="19"/>
        <v>15.859249758821116</v>
      </c>
      <c r="N26" s="4">
        <f t="shared" si="19"/>
        <v>14.867462776413911</v>
      </c>
      <c r="O26" s="4">
        <f t="shared" si="19"/>
        <v>13.992421301547589</v>
      </c>
      <c r="P26" s="4">
        <f t="shared" si="19"/>
        <v>13.214657562232643</v>
      </c>
      <c r="Q26" s="4">
        <f t="shared" si="19"/>
        <v>0</v>
      </c>
      <c r="R26" s="4">
        <f t="shared" si="19"/>
        <v>0</v>
      </c>
      <c r="S26" s="4">
        <f t="shared" si="19"/>
        <v>0</v>
      </c>
      <c r="T26" s="4">
        <f t="shared" si="19"/>
        <v>0</v>
      </c>
      <c r="U26" s="4">
        <f t="shared" si="19"/>
        <v>0</v>
      </c>
      <c r="V26" s="4">
        <f t="shared" si="19"/>
        <v>0</v>
      </c>
      <c r="W26" s="4">
        <f t="shared" si="16"/>
        <v>0</v>
      </c>
      <c r="X26" s="4">
        <f t="shared" si="16"/>
        <v>0</v>
      </c>
      <c r="Y26" s="4">
        <f t="shared" si="16"/>
        <v>0</v>
      </c>
      <c r="Z26" s="4">
        <f t="shared" si="16"/>
        <v>0</v>
      </c>
      <c r="AA26" s="4">
        <f t="shared" si="16"/>
        <v>0</v>
      </c>
      <c r="AB26" s="4">
        <f t="shared" si="16"/>
        <v>0</v>
      </c>
      <c r="AC26" s="4">
        <f t="shared" si="16"/>
        <v>0</v>
      </c>
      <c r="AD26" s="4">
        <f t="shared" si="16"/>
        <v>0</v>
      </c>
      <c r="AE26" s="4">
        <f t="shared" si="16"/>
        <v>0</v>
      </c>
      <c r="AF26" s="4">
        <f t="shared" si="16"/>
        <v>0</v>
      </c>
      <c r="AG26" s="4">
        <f t="shared" si="16"/>
        <v>0</v>
      </c>
      <c r="AH26" s="4">
        <f t="shared" si="16"/>
        <v>0</v>
      </c>
      <c r="AI26" s="4">
        <f t="shared" si="16"/>
        <v>0</v>
      </c>
      <c r="AJ26" s="4">
        <f t="shared" si="16"/>
        <v>0</v>
      </c>
      <c r="AK26" s="4">
        <f t="shared" si="16"/>
        <v>0</v>
      </c>
      <c r="AL26" s="4">
        <f t="shared" ref="AL26:AX41" si="20">IF(AL$9=0, 0,MIN($D26/($D26+AL$9)*$A26, 1000*10^(0.08*(LOG(($D26+AL$9)/$D26)+0.2-0.02*$A26/1000)^4-0.592*(LOG(($D26+AL$9)/$D26)+0.2-0.02*$A26/1000)^3+1.63*(LOG(($D26+AL$9)/$D26)+0.2-0.02*$A26/1000)^2-3.28*(LOG(($D26+AL$9)/$D26)+0.2-0.02*$A26/1000)+1.39)))</f>
        <v>0</v>
      </c>
      <c r="AM26" s="4">
        <f t="shared" si="20"/>
        <v>0</v>
      </c>
      <c r="AN26" s="4">
        <f t="shared" si="20"/>
        <v>0</v>
      </c>
      <c r="AO26" s="4">
        <f t="shared" si="20"/>
        <v>0</v>
      </c>
      <c r="AP26" s="4">
        <f t="shared" si="20"/>
        <v>0</v>
      </c>
      <c r="AQ26" s="4">
        <f t="shared" si="20"/>
        <v>0</v>
      </c>
      <c r="AR26" s="4">
        <f t="shared" si="20"/>
        <v>0</v>
      </c>
      <c r="AS26" s="4">
        <f t="shared" si="20"/>
        <v>0</v>
      </c>
      <c r="AT26" s="4">
        <f t="shared" si="20"/>
        <v>0</v>
      </c>
      <c r="AU26" s="4">
        <f t="shared" si="20"/>
        <v>0</v>
      </c>
      <c r="AV26" s="4">
        <f t="shared" si="20"/>
        <v>0</v>
      </c>
      <c r="AW26" s="4">
        <f t="shared" si="20"/>
        <v>0</v>
      </c>
      <c r="AX26" s="4">
        <f t="shared" si="20"/>
        <v>0</v>
      </c>
      <c r="AY26" s="4">
        <f t="shared" ref="AY26:BD41" si="21">IF(AY$9=0, 0,MIN($D26/($D26+AY$9)*$A26, 1000*10^(0.08*(LOG(($D26+AY$9)/$D26)+0.2-0.02*$A26/1000)^4-0.592*(LOG(($D26+AY$9)/$D26)+0.2-0.02*$A26/1000)^3+1.63*(LOG(($D26+AY$9)/$D26)+0.2-0.02*$A26/1000)^2-3.28*(LOG(($D26+AY$9)/$D26)+0.2-0.02*$A26/1000)+1.39)))</f>
        <v>0</v>
      </c>
      <c r="AZ26" s="4">
        <f t="shared" si="21"/>
        <v>0</v>
      </c>
      <c r="BA26" s="4">
        <f t="shared" si="21"/>
        <v>0</v>
      </c>
      <c r="BB26" s="4">
        <f t="shared" si="21"/>
        <v>0</v>
      </c>
      <c r="BC26" s="4">
        <f t="shared" si="21"/>
        <v>0</v>
      </c>
      <c r="BD26" s="4">
        <f t="shared" si="21"/>
        <v>0</v>
      </c>
      <c r="BF26" s="2">
        <f t="shared" si="9"/>
        <v>240</v>
      </c>
      <c r="BG26" s="1">
        <f t="shared" si="15"/>
        <v>2.8460538347830813E-6</v>
      </c>
      <c r="BH26" s="1">
        <f t="shared" ref="BH26:BW41" si="22">LOOKUP($A26,H26:H96,$B26:$B96)</f>
        <v>1.3282079514442266E-6</v>
      </c>
      <c r="BI26" s="1">
        <f t="shared" si="22"/>
        <v>6.1985347596705719E-7</v>
      </c>
      <c r="BJ26" s="1">
        <f t="shared" si="22"/>
        <v>2.2438112840487237E-7</v>
      </c>
      <c r="BK26" s="1">
        <f t="shared" si="22"/>
        <v>8.1223858115332338E-8</v>
      </c>
      <c r="BL26" s="1">
        <f t="shared" si="22"/>
        <v>0</v>
      </c>
      <c r="BM26" s="1">
        <f t="shared" si="22"/>
        <v>0</v>
      </c>
      <c r="BN26" s="1">
        <f t="shared" si="22"/>
        <v>0</v>
      </c>
      <c r="BO26" s="1">
        <f t="shared" si="22"/>
        <v>0</v>
      </c>
      <c r="BP26" s="1">
        <f t="shared" si="22"/>
        <v>0</v>
      </c>
      <c r="BQ26" s="1">
        <f t="shared" si="22"/>
        <v>0</v>
      </c>
      <c r="BR26" s="1">
        <f t="shared" si="22"/>
        <v>0</v>
      </c>
      <c r="BS26" s="1">
        <f t="shared" si="22"/>
        <v>0</v>
      </c>
      <c r="BT26" s="1">
        <f t="shared" si="22"/>
        <v>0</v>
      </c>
      <c r="BU26" s="1">
        <f t="shared" si="22"/>
        <v>0</v>
      </c>
      <c r="BV26" s="1">
        <f t="shared" si="22"/>
        <v>0</v>
      </c>
      <c r="BW26" s="1">
        <f t="shared" si="22"/>
        <v>0</v>
      </c>
      <c r="BX26" s="1">
        <f t="shared" si="17"/>
        <v>0</v>
      </c>
      <c r="BY26" s="1">
        <f t="shared" si="17"/>
        <v>0</v>
      </c>
      <c r="BZ26" s="1">
        <f t="shared" si="17"/>
        <v>0</v>
      </c>
      <c r="CA26" s="1">
        <f t="shared" si="17"/>
        <v>0</v>
      </c>
      <c r="CB26" s="1">
        <f t="shared" si="17"/>
        <v>0</v>
      </c>
      <c r="CC26" s="1">
        <f t="shared" si="17"/>
        <v>0</v>
      </c>
      <c r="CD26" s="1">
        <f t="shared" si="17"/>
        <v>0</v>
      </c>
      <c r="CE26" s="1">
        <f t="shared" si="17"/>
        <v>0</v>
      </c>
      <c r="CF26" s="1">
        <f t="shared" si="17"/>
        <v>0</v>
      </c>
      <c r="CG26" s="1">
        <f t="shared" si="17"/>
        <v>0</v>
      </c>
      <c r="CH26" s="1">
        <f t="shared" si="17"/>
        <v>0</v>
      </c>
      <c r="CI26" s="1">
        <f t="shared" si="17"/>
        <v>0</v>
      </c>
      <c r="CJ26" s="1">
        <f t="shared" si="17"/>
        <v>0</v>
      </c>
      <c r="CK26" s="1">
        <f t="shared" si="17"/>
        <v>0</v>
      </c>
      <c r="CL26" s="1">
        <f t="shared" si="17"/>
        <v>0</v>
      </c>
      <c r="CM26" s="1">
        <f t="shared" ref="CM26:DB41" si="23">LOOKUP($A26,AM26:AM96,$B26:$B96)</f>
        <v>0</v>
      </c>
      <c r="CN26" s="1">
        <f t="shared" si="23"/>
        <v>0</v>
      </c>
      <c r="CO26" s="1">
        <f t="shared" si="23"/>
        <v>0</v>
      </c>
      <c r="CP26" s="1">
        <f t="shared" si="23"/>
        <v>0</v>
      </c>
      <c r="CQ26" s="1">
        <f t="shared" si="23"/>
        <v>0</v>
      </c>
      <c r="CR26" s="1">
        <f t="shared" si="23"/>
        <v>0</v>
      </c>
      <c r="CS26" s="1">
        <f t="shared" si="23"/>
        <v>0</v>
      </c>
      <c r="CT26" s="1">
        <f t="shared" si="23"/>
        <v>0</v>
      </c>
      <c r="CU26" s="1">
        <f t="shared" si="23"/>
        <v>0</v>
      </c>
      <c r="CV26" s="1">
        <f t="shared" si="23"/>
        <v>0</v>
      </c>
      <c r="CW26" s="1">
        <f t="shared" si="23"/>
        <v>0</v>
      </c>
      <c r="CX26" s="1">
        <f t="shared" si="23"/>
        <v>0</v>
      </c>
      <c r="CY26" s="1">
        <f t="shared" si="23"/>
        <v>0</v>
      </c>
      <c r="CZ26" s="1">
        <f t="shared" si="23"/>
        <v>0</v>
      </c>
      <c r="DA26" s="1">
        <f t="shared" si="23"/>
        <v>0</v>
      </c>
      <c r="DB26" s="1">
        <f t="shared" si="23"/>
        <v>0</v>
      </c>
      <c r="DC26" s="1">
        <f t="shared" si="18"/>
        <v>0</v>
      </c>
      <c r="DD26" s="1">
        <f t="shared" si="18"/>
        <v>0</v>
      </c>
    </row>
    <row r="27" spans="1:108" x14ac:dyDescent="0.2">
      <c r="A27">
        <v>260</v>
      </c>
      <c r="B27" s="1">
        <f t="shared" ref="B27:B42" si="24">IF(A27&lt;($E$2+0.001),EXP(($E$2-A27)/($E$2)*(LN($B$5)-LN($B$5*0.001))+LN($B$5*0.001)),0)</f>
        <v>3.0995916822858E-5</v>
      </c>
      <c r="C27" s="3">
        <f t="shared" si="2"/>
        <v>1.5354685284743742E-6</v>
      </c>
      <c r="D27" s="5">
        <f t="shared" si="3"/>
        <v>10.228060895939294</v>
      </c>
      <c r="F27" s="1">
        <f t="shared" si="4"/>
        <v>3.0995916822858E-5</v>
      </c>
      <c r="G27" s="4">
        <f t="shared" si="19"/>
        <v>29.473046483966915</v>
      </c>
      <c r="H27" s="4">
        <f t="shared" si="19"/>
        <v>26.532448190384542</v>
      </c>
      <c r="I27" s="4">
        <f t="shared" si="19"/>
        <v>24.125397937052728</v>
      </c>
      <c r="J27" s="4">
        <f t="shared" si="19"/>
        <v>22.118761736046881</v>
      </c>
      <c r="K27" s="4">
        <f t="shared" si="19"/>
        <v>20.420298164995081</v>
      </c>
      <c r="L27" s="4">
        <f t="shared" si="19"/>
        <v>18.964077631492259</v>
      </c>
      <c r="M27" s="4">
        <f t="shared" si="19"/>
        <v>17.701725077755416</v>
      </c>
      <c r="N27" s="4">
        <f t="shared" si="19"/>
        <v>16.596941996766134</v>
      </c>
      <c r="O27" s="4">
        <f t="shared" si="19"/>
        <v>15.621959264224062</v>
      </c>
      <c r="P27" s="4">
        <f t="shared" si="19"/>
        <v>14.755170863651749</v>
      </c>
      <c r="Q27" s="4">
        <f t="shared" si="19"/>
        <v>0</v>
      </c>
      <c r="R27" s="4">
        <f t="shared" si="19"/>
        <v>0</v>
      </c>
      <c r="S27" s="4">
        <f t="shared" si="19"/>
        <v>0</v>
      </c>
      <c r="T27" s="4">
        <f t="shared" si="19"/>
        <v>0</v>
      </c>
      <c r="U27" s="4">
        <f t="shared" si="19"/>
        <v>0</v>
      </c>
      <c r="V27" s="4">
        <f t="shared" si="19"/>
        <v>0</v>
      </c>
      <c r="W27" s="4">
        <f t="shared" si="16"/>
        <v>0</v>
      </c>
      <c r="X27" s="4">
        <f t="shared" si="16"/>
        <v>0</v>
      </c>
      <c r="Y27" s="4">
        <f t="shared" si="16"/>
        <v>0</v>
      </c>
      <c r="Z27" s="4">
        <f t="shared" si="16"/>
        <v>0</v>
      </c>
      <c r="AA27" s="4">
        <f t="shared" si="16"/>
        <v>0</v>
      </c>
      <c r="AB27" s="4">
        <f t="shared" si="16"/>
        <v>0</v>
      </c>
      <c r="AC27" s="4">
        <f t="shared" si="16"/>
        <v>0</v>
      </c>
      <c r="AD27" s="4">
        <f t="shared" si="16"/>
        <v>0</v>
      </c>
      <c r="AE27" s="4">
        <f t="shared" si="16"/>
        <v>0</v>
      </c>
      <c r="AF27" s="4">
        <f t="shared" si="16"/>
        <v>0</v>
      </c>
      <c r="AG27" s="4">
        <f t="shared" si="16"/>
        <v>0</v>
      </c>
      <c r="AH27" s="4">
        <f t="shared" si="16"/>
        <v>0</v>
      </c>
      <c r="AI27" s="4">
        <f t="shared" si="16"/>
        <v>0</v>
      </c>
      <c r="AJ27" s="4">
        <f t="shared" si="16"/>
        <v>0</v>
      </c>
      <c r="AK27" s="4">
        <f t="shared" si="16"/>
        <v>0</v>
      </c>
      <c r="AL27" s="4">
        <f t="shared" si="20"/>
        <v>0</v>
      </c>
      <c r="AM27" s="4">
        <f t="shared" si="20"/>
        <v>0</v>
      </c>
      <c r="AN27" s="4">
        <f t="shared" si="20"/>
        <v>0</v>
      </c>
      <c r="AO27" s="4">
        <f t="shared" si="20"/>
        <v>0</v>
      </c>
      <c r="AP27" s="4">
        <f t="shared" si="20"/>
        <v>0</v>
      </c>
      <c r="AQ27" s="4">
        <f t="shared" si="20"/>
        <v>0</v>
      </c>
      <c r="AR27" s="4">
        <f t="shared" si="20"/>
        <v>0</v>
      </c>
      <c r="AS27" s="4">
        <f t="shared" si="20"/>
        <v>0</v>
      </c>
      <c r="AT27" s="4">
        <f t="shared" si="20"/>
        <v>0</v>
      </c>
      <c r="AU27" s="4">
        <f t="shared" si="20"/>
        <v>0</v>
      </c>
      <c r="AV27" s="4">
        <f t="shared" si="20"/>
        <v>0</v>
      </c>
      <c r="AW27" s="4">
        <f t="shared" si="20"/>
        <v>0</v>
      </c>
      <c r="AX27" s="4">
        <f t="shared" si="20"/>
        <v>0</v>
      </c>
      <c r="AY27" s="4">
        <f t="shared" si="21"/>
        <v>0</v>
      </c>
      <c r="AZ27" s="4">
        <f t="shared" si="21"/>
        <v>0</v>
      </c>
      <c r="BA27" s="4">
        <f t="shared" si="21"/>
        <v>0</v>
      </c>
      <c r="BB27" s="4">
        <f t="shared" si="21"/>
        <v>0</v>
      </c>
      <c r="BC27" s="4">
        <f t="shared" si="21"/>
        <v>0</v>
      </c>
      <c r="BD27" s="4">
        <f t="shared" si="21"/>
        <v>0</v>
      </c>
      <c r="BF27" s="2">
        <f t="shared" si="9"/>
        <v>260</v>
      </c>
      <c r="BG27" s="1">
        <f t="shared" ref="BG27:BG42" si="25">LOOKUP($A27,G27:G97,$B27:$B97)</f>
        <v>2.2075849897387706E-6</v>
      </c>
      <c r="BH27" s="1">
        <f t="shared" si="22"/>
        <v>7.9912500333154581E-7</v>
      </c>
      <c r="BI27" s="1">
        <f t="shared" si="22"/>
        <v>3.7293889899442073E-7</v>
      </c>
      <c r="BJ27" s="1">
        <f t="shared" si="22"/>
        <v>1.3500037384139172E-7</v>
      </c>
      <c r="BK27" s="1">
        <f t="shared" si="22"/>
        <v>0</v>
      </c>
      <c r="BL27" s="1">
        <f t="shared" si="22"/>
        <v>0</v>
      </c>
      <c r="BM27" s="1">
        <f t="shared" si="22"/>
        <v>0</v>
      </c>
      <c r="BN27" s="1">
        <f t="shared" si="22"/>
        <v>0</v>
      </c>
      <c r="BO27" s="1">
        <f t="shared" si="22"/>
        <v>0</v>
      </c>
      <c r="BP27" s="1">
        <f t="shared" si="22"/>
        <v>0</v>
      </c>
      <c r="BQ27" s="1">
        <f t="shared" si="22"/>
        <v>0</v>
      </c>
      <c r="BR27" s="1">
        <f t="shared" si="22"/>
        <v>0</v>
      </c>
      <c r="BS27" s="1">
        <f t="shared" si="22"/>
        <v>0</v>
      </c>
      <c r="BT27" s="1">
        <f t="shared" si="22"/>
        <v>0</v>
      </c>
      <c r="BU27" s="1">
        <f t="shared" si="22"/>
        <v>0</v>
      </c>
      <c r="BV27" s="1">
        <f t="shared" si="22"/>
        <v>0</v>
      </c>
      <c r="BW27" s="1">
        <f t="shared" si="22"/>
        <v>0</v>
      </c>
      <c r="BX27" s="1">
        <f t="shared" si="17"/>
        <v>0</v>
      </c>
      <c r="BY27" s="1">
        <f t="shared" si="17"/>
        <v>0</v>
      </c>
      <c r="BZ27" s="1">
        <f t="shared" si="17"/>
        <v>0</v>
      </c>
      <c r="CA27" s="1">
        <f t="shared" si="17"/>
        <v>0</v>
      </c>
      <c r="CB27" s="1">
        <f t="shared" si="17"/>
        <v>0</v>
      </c>
      <c r="CC27" s="1">
        <f t="shared" si="17"/>
        <v>0</v>
      </c>
      <c r="CD27" s="1">
        <f t="shared" si="17"/>
        <v>0</v>
      </c>
      <c r="CE27" s="1">
        <f t="shared" si="17"/>
        <v>0</v>
      </c>
      <c r="CF27" s="1">
        <f t="shared" si="17"/>
        <v>0</v>
      </c>
      <c r="CG27" s="1">
        <f t="shared" si="17"/>
        <v>0</v>
      </c>
      <c r="CH27" s="1">
        <f t="shared" si="17"/>
        <v>0</v>
      </c>
      <c r="CI27" s="1">
        <f t="shared" si="17"/>
        <v>0</v>
      </c>
      <c r="CJ27" s="1">
        <f t="shared" si="17"/>
        <v>0</v>
      </c>
      <c r="CK27" s="1">
        <f t="shared" si="17"/>
        <v>0</v>
      </c>
      <c r="CL27" s="1">
        <f t="shared" si="17"/>
        <v>0</v>
      </c>
      <c r="CM27" s="1">
        <f t="shared" si="23"/>
        <v>0</v>
      </c>
      <c r="CN27" s="1">
        <f t="shared" si="23"/>
        <v>0</v>
      </c>
      <c r="CO27" s="1">
        <f t="shared" si="23"/>
        <v>0</v>
      </c>
      <c r="CP27" s="1">
        <f t="shared" si="23"/>
        <v>0</v>
      </c>
      <c r="CQ27" s="1">
        <f t="shared" si="23"/>
        <v>0</v>
      </c>
      <c r="CR27" s="1">
        <f t="shared" si="23"/>
        <v>0</v>
      </c>
      <c r="CS27" s="1">
        <f t="shared" si="23"/>
        <v>0</v>
      </c>
      <c r="CT27" s="1">
        <f t="shared" si="23"/>
        <v>0</v>
      </c>
      <c r="CU27" s="1">
        <f t="shared" si="23"/>
        <v>0</v>
      </c>
      <c r="CV27" s="1">
        <f t="shared" si="23"/>
        <v>0</v>
      </c>
      <c r="CW27" s="1">
        <f t="shared" si="23"/>
        <v>0</v>
      </c>
      <c r="CX27" s="1">
        <f t="shared" si="23"/>
        <v>0</v>
      </c>
      <c r="CY27" s="1">
        <f t="shared" si="23"/>
        <v>0</v>
      </c>
      <c r="CZ27" s="1">
        <f t="shared" si="23"/>
        <v>0</v>
      </c>
      <c r="DA27" s="1">
        <f t="shared" si="23"/>
        <v>0</v>
      </c>
      <c r="DB27" s="1">
        <f t="shared" si="23"/>
        <v>0</v>
      </c>
      <c r="DC27" s="1">
        <f t="shared" si="18"/>
        <v>0</v>
      </c>
      <c r="DD27" s="1">
        <f t="shared" si="18"/>
        <v>0</v>
      </c>
    </row>
    <row r="28" spans="1:108" x14ac:dyDescent="0.2">
      <c r="A28">
        <v>280</v>
      </c>
      <c r="B28" s="1">
        <f t="shared" si="24"/>
        <v>2.9460448294383626E-5</v>
      </c>
      <c r="C28" s="3">
        <f t="shared" si="2"/>
        <v>1.4594048451379271E-6</v>
      </c>
      <c r="D28" s="5">
        <f t="shared" si="3"/>
        <v>10.535760533760584</v>
      </c>
      <c r="F28" s="1">
        <f t="shared" si="4"/>
        <v>2.9460448294383626E-5</v>
      </c>
      <c r="G28" s="4">
        <f t="shared" si="19"/>
        <v>32.583952816665303</v>
      </c>
      <c r="H28" s="4">
        <f t="shared" si="19"/>
        <v>29.342921700605523</v>
      </c>
      <c r="I28" s="4">
        <f t="shared" si="19"/>
        <v>26.688312770525975</v>
      </c>
      <c r="J28" s="4">
        <f t="shared" si="19"/>
        <v>24.474172116138938</v>
      </c>
      <c r="K28" s="4">
        <f t="shared" si="19"/>
        <v>22.599270402151589</v>
      </c>
      <c r="L28" s="4">
        <f t="shared" si="19"/>
        <v>20.991190699425491</v>
      </c>
      <c r="M28" s="4">
        <f t="shared" si="19"/>
        <v>19.596758530949632</v>
      </c>
      <c r="N28" s="4">
        <f t="shared" si="19"/>
        <v>18.376048673794255</v>
      </c>
      <c r="O28" s="4">
        <f t="shared" si="19"/>
        <v>17.298500562109119</v>
      </c>
      <c r="P28" s="4">
        <f t="shared" si="19"/>
        <v>16.340324713126876</v>
      </c>
      <c r="Q28" s="4">
        <f t="shared" si="19"/>
        <v>0</v>
      </c>
      <c r="R28" s="4">
        <f t="shared" si="19"/>
        <v>0</v>
      </c>
      <c r="S28" s="4">
        <f t="shared" si="19"/>
        <v>0</v>
      </c>
      <c r="T28" s="4">
        <f t="shared" si="19"/>
        <v>0</v>
      </c>
      <c r="U28" s="4">
        <f t="shared" si="19"/>
        <v>0</v>
      </c>
      <c r="V28" s="4">
        <f t="shared" si="19"/>
        <v>0</v>
      </c>
      <c r="W28" s="4">
        <f t="shared" si="16"/>
        <v>0</v>
      </c>
      <c r="X28" s="4">
        <f t="shared" si="16"/>
        <v>0</v>
      </c>
      <c r="Y28" s="4">
        <f t="shared" si="16"/>
        <v>0</v>
      </c>
      <c r="Z28" s="4">
        <f t="shared" si="16"/>
        <v>0</v>
      </c>
      <c r="AA28" s="4">
        <f t="shared" si="16"/>
        <v>0</v>
      </c>
      <c r="AB28" s="4">
        <f t="shared" si="16"/>
        <v>0</v>
      </c>
      <c r="AC28" s="4">
        <f t="shared" si="16"/>
        <v>0</v>
      </c>
      <c r="AD28" s="4">
        <f t="shared" si="16"/>
        <v>0</v>
      </c>
      <c r="AE28" s="4">
        <f t="shared" si="16"/>
        <v>0</v>
      </c>
      <c r="AF28" s="4">
        <f t="shared" si="16"/>
        <v>0</v>
      </c>
      <c r="AG28" s="4">
        <f t="shared" si="16"/>
        <v>0</v>
      </c>
      <c r="AH28" s="4">
        <f t="shared" si="16"/>
        <v>0</v>
      </c>
      <c r="AI28" s="4">
        <f t="shared" si="16"/>
        <v>0</v>
      </c>
      <c r="AJ28" s="4">
        <f t="shared" si="16"/>
        <v>0</v>
      </c>
      <c r="AK28" s="4">
        <f t="shared" si="16"/>
        <v>0</v>
      </c>
      <c r="AL28" s="4">
        <f t="shared" si="20"/>
        <v>0</v>
      </c>
      <c r="AM28" s="4">
        <f t="shared" si="20"/>
        <v>0</v>
      </c>
      <c r="AN28" s="4">
        <f t="shared" si="20"/>
        <v>0</v>
      </c>
      <c r="AO28" s="4">
        <f t="shared" si="20"/>
        <v>0</v>
      </c>
      <c r="AP28" s="4">
        <f t="shared" si="20"/>
        <v>0</v>
      </c>
      <c r="AQ28" s="4">
        <f t="shared" si="20"/>
        <v>0</v>
      </c>
      <c r="AR28" s="4">
        <f t="shared" si="20"/>
        <v>0</v>
      </c>
      <c r="AS28" s="4">
        <f t="shared" si="20"/>
        <v>0</v>
      </c>
      <c r="AT28" s="4">
        <f t="shared" si="20"/>
        <v>0</v>
      </c>
      <c r="AU28" s="4">
        <f t="shared" si="20"/>
        <v>0</v>
      </c>
      <c r="AV28" s="4">
        <f t="shared" si="20"/>
        <v>0</v>
      </c>
      <c r="AW28" s="4">
        <f t="shared" si="20"/>
        <v>0</v>
      </c>
      <c r="AX28" s="4">
        <f t="shared" si="20"/>
        <v>0</v>
      </c>
      <c r="AY28" s="4">
        <f t="shared" si="21"/>
        <v>0</v>
      </c>
      <c r="AZ28" s="4">
        <f t="shared" si="21"/>
        <v>0</v>
      </c>
      <c r="BA28" s="4">
        <f t="shared" si="21"/>
        <v>0</v>
      </c>
      <c r="BB28" s="4">
        <f t="shared" si="21"/>
        <v>0</v>
      </c>
      <c r="BC28" s="4">
        <f t="shared" si="21"/>
        <v>0</v>
      </c>
      <c r="BD28" s="4">
        <f t="shared" si="21"/>
        <v>0</v>
      </c>
      <c r="BF28" s="2">
        <f t="shared" si="9"/>
        <v>280</v>
      </c>
      <c r="BG28" s="1">
        <f t="shared" si="25"/>
        <v>1.3282079514442266E-6</v>
      </c>
      <c r="BH28" s="1">
        <f t="shared" si="22"/>
        <v>4.8079878625576716E-7</v>
      </c>
      <c r="BI28" s="1">
        <f t="shared" si="22"/>
        <v>2.2438112840487237E-7</v>
      </c>
      <c r="BJ28" s="1">
        <f t="shared" si="22"/>
        <v>8.1223858115332338E-8</v>
      </c>
      <c r="BK28" s="1">
        <f t="shared" si="22"/>
        <v>0</v>
      </c>
      <c r="BL28" s="1">
        <f t="shared" si="22"/>
        <v>0</v>
      </c>
      <c r="BM28" s="1">
        <f t="shared" si="22"/>
        <v>0</v>
      </c>
      <c r="BN28" s="1">
        <f t="shared" si="22"/>
        <v>0</v>
      </c>
      <c r="BO28" s="1">
        <f t="shared" si="22"/>
        <v>0</v>
      </c>
      <c r="BP28" s="1">
        <f t="shared" si="22"/>
        <v>0</v>
      </c>
      <c r="BQ28" s="1">
        <f t="shared" si="22"/>
        <v>0</v>
      </c>
      <c r="BR28" s="1">
        <f t="shared" si="22"/>
        <v>0</v>
      </c>
      <c r="BS28" s="1">
        <f t="shared" si="22"/>
        <v>0</v>
      </c>
      <c r="BT28" s="1">
        <f t="shared" si="22"/>
        <v>0</v>
      </c>
      <c r="BU28" s="1">
        <f t="shared" si="22"/>
        <v>0</v>
      </c>
      <c r="BV28" s="1">
        <f t="shared" si="22"/>
        <v>0</v>
      </c>
      <c r="BW28" s="1">
        <f t="shared" si="22"/>
        <v>0</v>
      </c>
      <c r="BX28" s="1">
        <f t="shared" si="17"/>
        <v>0</v>
      </c>
      <c r="BY28" s="1">
        <f t="shared" si="17"/>
        <v>0</v>
      </c>
      <c r="BZ28" s="1">
        <f t="shared" si="17"/>
        <v>0</v>
      </c>
      <c r="CA28" s="1">
        <f t="shared" si="17"/>
        <v>0</v>
      </c>
      <c r="CB28" s="1">
        <f t="shared" si="17"/>
        <v>0</v>
      </c>
      <c r="CC28" s="1">
        <f t="shared" si="17"/>
        <v>0</v>
      </c>
      <c r="CD28" s="1">
        <f t="shared" si="17"/>
        <v>0</v>
      </c>
      <c r="CE28" s="1">
        <f t="shared" si="17"/>
        <v>0</v>
      </c>
      <c r="CF28" s="1">
        <f t="shared" si="17"/>
        <v>0</v>
      </c>
      <c r="CG28" s="1">
        <f t="shared" si="17"/>
        <v>0</v>
      </c>
      <c r="CH28" s="1">
        <f t="shared" si="17"/>
        <v>0</v>
      </c>
      <c r="CI28" s="1">
        <f t="shared" si="17"/>
        <v>0</v>
      </c>
      <c r="CJ28" s="1">
        <f t="shared" si="17"/>
        <v>0</v>
      </c>
      <c r="CK28" s="1">
        <f t="shared" si="17"/>
        <v>0</v>
      </c>
      <c r="CL28" s="1">
        <f t="shared" si="17"/>
        <v>0</v>
      </c>
      <c r="CM28" s="1">
        <f t="shared" si="23"/>
        <v>0</v>
      </c>
      <c r="CN28" s="1">
        <f t="shared" si="23"/>
        <v>0</v>
      </c>
      <c r="CO28" s="1">
        <f t="shared" si="23"/>
        <v>0</v>
      </c>
      <c r="CP28" s="1">
        <f t="shared" si="23"/>
        <v>0</v>
      </c>
      <c r="CQ28" s="1">
        <f t="shared" si="23"/>
        <v>0</v>
      </c>
      <c r="CR28" s="1">
        <f t="shared" si="23"/>
        <v>0</v>
      </c>
      <c r="CS28" s="1">
        <f t="shared" si="23"/>
        <v>0</v>
      </c>
      <c r="CT28" s="1">
        <f t="shared" si="23"/>
        <v>0</v>
      </c>
      <c r="CU28" s="1">
        <f t="shared" si="23"/>
        <v>0</v>
      </c>
      <c r="CV28" s="1">
        <f t="shared" si="23"/>
        <v>0</v>
      </c>
      <c r="CW28" s="1">
        <f t="shared" si="23"/>
        <v>0</v>
      </c>
      <c r="CX28" s="1">
        <f t="shared" si="23"/>
        <v>0</v>
      </c>
      <c r="CY28" s="1">
        <f t="shared" si="23"/>
        <v>0</v>
      </c>
      <c r="CZ28" s="1">
        <f t="shared" si="23"/>
        <v>0</v>
      </c>
      <c r="DA28" s="1">
        <f t="shared" si="23"/>
        <v>0</v>
      </c>
      <c r="DB28" s="1">
        <f t="shared" si="23"/>
        <v>0</v>
      </c>
      <c r="DC28" s="1">
        <f t="shared" si="18"/>
        <v>0</v>
      </c>
      <c r="DD28" s="1">
        <f t="shared" si="18"/>
        <v>0</v>
      </c>
    </row>
    <row r="29" spans="1:108" x14ac:dyDescent="0.2">
      <c r="A29">
        <v>300</v>
      </c>
      <c r="B29" s="1">
        <f t="shared" si="24"/>
        <v>2.8001043449245698E-5</v>
      </c>
      <c r="C29" s="3">
        <f t="shared" si="2"/>
        <v>1.3871091868801374E-6</v>
      </c>
      <c r="D29" s="5">
        <f t="shared" si="3"/>
        <v>10.830536787816907</v>
      </c>
      <c r="F29" s="1">
        <f t="shared" si="4"/>
        <v>2.8001043449245698E-5</v>
      </c>
      <c r="G29" s="4">
        <f t="shared" si="19"/>
        <v>35.771681542906855</v>
      </c>
      <c r="H29" s="4">
        <f t="shared" si="19"/>
        <v>32.223978368601323</v>
      </c>
      <c r="I29" s="4">
        <f t="shared" si="19"/>
        <v>29.316478386868532</v>
      </c>
      <c r="J29" s="4">
        <f t="shared" si="19"/>
        <v>26.890230919446502</v>
      </c>
      <c r="K29" s="4">
        <f t="shared" si="19"/>
        <v>24.834882712547568</v>
      </c>
      <c r="L29" s="4">
        <f t="shared" si="19"/>
        <v>23.071424070764131</v>
      </c>
      <c r="M29" s="4">
        <f t="shared" si="19"/>
        <v>21.541798534575779</v>
      </c>
      <c r="N29" s="4">
        <f t="shared" si="19"/>
        <v>20.202388807740398</v>
      </c>
      <c r="O29" s="4">
        <f t="shared" si="19"/>
        <v>19.019790591542485</v>
      </c>
      <c r="P29" s="4">
        <f t="shared" si="19"/>
        <v>17.967988670838132</v>
      </c>
      <c r="Q29" s="4">
        <f t="shared" si="19"/>
        <v>0</v>
      </c>
      <c r="R29" s="4">
        <f t="shared" si="19"/>
        <v>0</v>
      </c>
      <c r="S29" s="4">
        <f t="shared" si="19"/>
        <v>0</v>
      </c>
      <c r="T29" s="4">
        <f t="shared" si="19"/>
        <v>0</v>
      </c>
      <c r="U29" s="4">
        <f t="shared" si="19"/>
        <v>0</v>
      </c>
      <c r="V29" s="4">
        <f t="shared" si="19"/>
        <v>0</v>
      </c>
      <c r="W29" s="4">
        <f t="shared" si="16"/>
        <v>0</v>
      </c>
      <c r="X29" s="4">
        <f t="shared" si="16"/>
        <v>0</v>
      </c>
      <c r="Y29" s="4">
        <f t="shared" si="16"/>
        <v>0</v>
      </c>
      <c r="Z29" s="4">
        <f t="shared" si="16"/>
        <v>0</v>
      </c>
      <c r="AA29" s="4">
        <f t="shared" si="16"/>
        <v>0</v>
      </c>
      <c r="AB29" s="4">
        <f t="shared" si="16"/>
        <v>0</v>
      </c>
      <c r="AC29" s="4">
        <f t="shared" si="16"/>
        <v>0</v>
      </c>
      <c r="AD29" s="4">
        <f t="shared" si="16"/>
        <v>0</v>
      </c>
      <c r="AE29" s="4">
        <f t="shared" si="16"/>
        <v>0</v>
      </c>
      <c r="AF29" s="4">
        <f t="shared" si="16"/>
        <v>0</v>
      </c>
      <c r="AG29" s="4">
        <f t="shared" si="16"/>
        <v>0</v>
      </c>
      <c r="AH29" s="4">
        <f t="shared" si="16"/>
        <v>0</v>
      </c>
      <c r="AI29" s="4">
        <f t="shared" si="16"/>
        <v>0</v>
      </c>
      <c r="AJ29" s="4">
        <f t="shared" si="16"/>
        <v>0</v>
      </c>
      <c r="AK29" s="4">
        <f t="shared" si="16"/>
        <v>0</v>
      </c>
      <c r="AL29" s="4">
        <f t="shared" si="20"/>
        <v>0</v>
      </c>
      <c r="AM29" s="4">
        <f t="shared" si="20"/>
        <v>0</v>
      </c>
      <c r="AN29" s="4">
        <f t="shared" si="20"/>
        <v>0</v>
      </c>
      <c r="AO29" s="4">
        <f t="shared" si="20"/>
        <v>0</v>
      </c>
      <c r="AP29" s="4">
        <f t="shared" si="20"/>
        <v>0</v>
      </c>
      <c r="AQ29" s="4">
        <f t="shared" si="20"/>
        <v>0</v>
      </c>
      <c r="AR29" s="4">
        <f t="shared" si="20"/>
        <v>0</v>
      </c>
      <c r="AS29" s="4">
        <f t="shared" si="20"/>
        <v>0</v>
      </c>
      <c r="AT29" s="4">
        <f t="shared" si="20"/>
        <v>0</v>
      </c>
      <c r="AU29" s="4">
        <f t="shared" si="20"/>
        <v>0</v>
      </c>
      <c r="AV29" s="4">
        <f t="shared" si="20"/>
        <v>0</v>
      </c>
      <c r="AW29" s="4">
        <f t="shared" si="20"/>
        <v>0</v>
      </c>
      <c r="AX29" s="4">
        <f t="shared" si="20"/>
        <v>0</v>
      </c>
      <c r="AY29" s="4">
        <f t="shared" si="21"/>
        <v>0</v>
      </c>
      <c r="AZ29" s="4">
        <f t="shared" si="21"/>
        <v>0</v>
      </c>
      <c r="BA29" s="4">
        <f t="shared" si="21"/>
        <v>0</v>
      </c>
      <c r="BB29" s="4">
        <f t="shared" si="21"/>
        <v>0</v>
      </c>
      <c r="BC29" s="4">
        <f t="shared" si="21"/>
        <v>0</v>
      </c>
      <c r="BD29" s="4">
        <f t="shared" si="21"/>
        <v>0</v>
      </c>
      <c r="BF29" s="2">
        <f t="shared" si="9"/>
        <v>300</v>
      </c>
      <c r="BG29" s="1">
        <f t="shared" si="25"/>
        <v>1.0302447202596348E-6</v>
      </c>
      <c r="BH29" s="1">
        <f t="shared" si="22"/>
        <v>3.7293889899442073E-7</v>
      </c>
      <c r="BI29" s="1">
        <f t="shared" si="22"/>
        <v>1.3500037384139172E-7</v>
      </c>
      <c r="BJ29" s="1">
        <f t="shared" si="22"/>
        <v>0</v>
      </c>
      <c r="BK29" s="1">
        <f t="shared" si="22"/>
        <v>0</v>
      </c>
      <c r="BL29" s="1">
        <f t="shared" si="22"/>
        <v>0</v>
      </c>
      <c r="BM29" s="1">
        <f t="shared" si="22"/>
        <v>0</v>
      </c>
      <c r="BN29" s="1">
        <f t="shared" si="22"/>
        <v>0</v>
      </c>
      <c r="BO29" s="1">
        <f t="shared" si="22"/>
        <v>0</v>
      </c>
      <c r="BP29" s="1">
        <f t="shared" si="22"/>
        <v>0</v>
      </c>
      <c r="BQ29" s="1">
        <f t="shared" si="22"/>
        <v>0</v>
      </c>
      <c r="BR29" s="1">
        <f t="shared" si="22"/>
        <v>0</v>
      </c>
      <c r="BS29" s="1">
        <f t="shared" si="22"/>
        <v>0</v>
      </c>
      <c r="BT29" s="1">
        <f t="shared" si="22"/>
        <v>0</v>
      </c>
      <c r="BU29" s="1">
        <f t="shared" si="22"/>
        <v>0</v>
      </c>
      <c r="BV29" s="1">
        <f t="shared" si="22"/>
        <v>0</v>
      </c>
      <c r="BW29" s="1">
        <f t="shared" si="22"/>
        <v>0</v>
      </c>
      <c r="BX29" s="1">
        <f t="shared" si="17"/>
        <v>0</v>
      </c>
      <c r="BY29" s="1">
        <f t="shared" si="17"/>
        <v>0</v>
      </c>
      <c r="BZ29" s="1">
        <f t="shared" si="17"/>
        <v>0</v>
      </c>
      <c r="CA29" s="1">
        <f t="shared" si="17"/>
        <v>0</v>
      </c>
      <c r="CB29" s="1">
        <f t="shared" si="17"/>
        <v>0</v>
      </c>
      <c r="CC29" s="1">
        <f t="shared" si="17"/>
        <v>0</v>
      </c>
      <c r="CD29" s="1">
        <f t="shared" si="17"/>
        <v>0</v>
      </c>
      <c r="CE29" s="1">
        <f t="shared" si="17"/>
        <v>0</v>
      </c>
      <c r="CF29" s="1">
        <f t="shared" si="17"/>
        <v>0</v>
      </c>
      <c r="CG29" s="1">
        <f t="shared" si="17"/>
        <v>0</v>
      </c>
      <c r="CH29" s="1">
        <f t="shared" si="17"/>
        <v>0</v>
      </c>
      <c r="CI29" s="1">
        <f t="shared" si="17"/>
        <v>0</v>
      </c>
      <c r="CJ29" s="1">
        <f t="shared" si="17"/>
        <v>0</v>
      </c>
      <c r="CK29" s="1">
        <f t="shared" si="17"/>
        <v>0</v>
      </c>
      <c r="CL29" s="1">
        <f t="shared" si="17"/>
        <v>0</v>
      </c>
      <c r="CM29" s="1">
        <f t="shared" si="23"/>
        <v>0</v>
      </c>
      <c r="CN29" s="1">
        <f t="shared" si="23"/>
        <v>0</v>
      </c>
      <c r="CO29" s="1">
        <f t="shared" si="23"/>
        <v>0</v>
      </c>
      <c r="CP29" s="1">
        <f t="shared" si="23"/>
        <v>0</v>
      </c>
      <c r="CQ29" s="1">
        <f t="shared" si="23"/>
        <v>0</v>
      </c>
      <c r="CR29" s="1">
        <f t="shared" si="23"/>
        <v>0</v>
      </c>
      <c r="CS29" s="1">
        <f t="shared" si="23"/>
        <v>0</v>
      </c>
      <c r="CT29" s="1">
        <f t="shared" si="23"/>
        <v>0</v>
      </c>
      <c r="CU29" s="1">
        <f t="shared" si="23"/>
        <v>0</v>
      </c>
      <c r="CV29" s="1">
        <f t="shared" si="23"/>
        <v>0</v>
      </c>
      <c r="CW29" s="1">
        <f t="shared" si="23"/>
        <v>0</v>
      </c>
      <c r="CX29" s="1">
        <f t="shared" si="23"/>
        <v>0</v>
      </c>
      <c r="CY29" s="1">
        <f t="shared" si="23"/>
        <v>0</v>
      </c>
      <c r="CZ29" s="1">
        <f t="shared" si="23"/>
        <v>0</v>
      </c>
      <c r="DA29" s="1">
        <f t="shared" si="23"/>
        <v>0</v>
      </c>
      <c r="DB29" s="1">
        <f t="shared" si="23"/>
        <v>0</v>
      </c>
      <c r="DC29" s="1">
        <f t="shared" si="18"/>
        <v>0</v>
      </c>
      <c r="DD29" s="1">
        <f t="shared" si="18"/>
        <v>0</v>
      </c>
    </row>
    <row r="30" spans="1:108" x14ac:dyDescent="0.2">
      <c r="A30">
        <v>320</v>
      </c>
      <c r="B30" s="1">
        <f t="shared" si="24"/>
        <v>2.6613934262365561E-5</v>
      </c>
      <c r="C30" s="3">
        <f t="shared" si="2"/>
        <v>1.3183948941498133E-6</v>
      </c>
      <c r="D30" s="5">
        <f t="shared" si="3"/>
        <v>11.11374301101989</v>
      </c>
      <c r="F30" s="1">
        <f t="shared" si="4"/>
        <v>2.6613934262365561E-5</v>
      </c>
      <c r="G30" s="4">
        <f t="shared" si="19"/>
        <v>39.032506469372365</v>
      </c>
      <c r="H30" s="4">
        <f t="shared" si="19"/>
        <v>35.17224916833284</v>
      </c>
      <c r="I30" s="4">
        <f t="shared" si="19"/>
        <v>32.006821722976724</v>
      </c>
      <c r="J30" s="4">
        <f t="shared" si="19"/>
        <v>29.364114056014067</v>
      </c>
      <c r="K30" s="4">
        <f t="shared" si="19"/>
        <v>27.124523195310317</v>
      </c>
      <c r="L30" s="4">
        <f t="shared" si="19"/>
        <v>25.202348741104814</v>
      </c>
      <c r="M30" s="4">
        <f t="shared" si="19"/>
        <v>23.534575298469157</v>
      </c>
      <c r="N30" s="4">
        <f t="shared" si="19"/>
        <v>22.073832418399672</v>
      </c>
      <c r="O30" s="4">
        <f t="shared" si="19"/>
        <v>20.78382309302491</v>
      </c>
      <c r="P30" s="4">
        <f t="shared" si="19"/>
        <v>19.636266715055275</v>
      </c>
      <c r="Q30" s="4">
        <f t="shared" si="19"/>
        <v>0</v>
      </c>
      <c r="R30" s="4">
        <f t="shared" si="19"/>
        <v>0</v>
      </c>
      <c r="S30" s="4">
        <f t="shared" si="19"/>
        <v>0</v>
      </c>
      <c r="T30" s="4">
        <f t="shared" si="19"/>
        <v>0</v>
      </c>
      <c r="U30" s="4">
        <f t="shared" si="19"/>
        <v>0</v>
      </c>
      <c r="V30" s="4">
        <f t="shared" si="19"/>
        <v>0</v>
      </c>
      <c r="W30" s="4">
        <f t="shared" si="16"/>
        <v>0</v>
      </c>
      <c r="X30" s="4">
        <f t="shared" si="16"/>
        <v>0</v>
      </c>
      <c r="Y30" s="4">
        <f t="shared" si="16"/>
        <v>0</v>
      </c>
      <c r="Z30" s="4">
        <f t="shared" si="16"/>
        <v>0</v>
      </c>
      <c r="AA30" s="4">
        <f t="shared" si="16"/>
        <v>0</v>
      </c>
      <c r="AB30" s="4">
        <f t="shared" si="16"/>
        <v>0</v>
      </c>
      <c r="AC30" s="4">
        <f t="shared" si="16"/>
        <v>0</v>
      </c>
      <c r="AD30" s="4">
        <f t="shared" si="16"/>
        <v>0</v>
      </c>
      <c r="AE30" s="4">
        <f t="shared" si="16"/>
        <v>0</v>
      </c>
      <c r="AF30" s="4">
        <f t="shared" si="16"/>
        <v>0</v>
      </c>
      <c r="AG30" s="4">
        <f t="shared" si="16"/>
        <v>0</v>
      </c>
      <c r="AH30" s="4">
        <f t="shared" si="16"/>
        <v>0</v>
      </c>
      <c r="AI30" s="4">
        <f t="shared" si="16"/>
        <v>0</v>
      </c>
      <c r="AJ30" s="4">
        <f t="shared" si="16"/>
        <v>0</v>
      </c>
      <c r="AK30" s="4">
        <f t="shared" si="16"/>
        <v>0</v>
      </c>
      <c r="AL30" s="4">
        <f t="shared" si="20"/>
        <v>0</v>
      </c>
      <c r="AM30" s="4">
        <f t="shared" si="20"/>
        <v>0</v>
      </c>
      <c r="AN30" s="4">
        <f t="shared" si="20"/>
        <v>0</v>
      </c>
      <c r="AO30" s="4">
        <f t="shared" si="20"/>
        <v>0</v>
      </c>
      <c r="AP30" s="4">
        <f t="shared" si="20"/>
        <v>0</v>
      </c>
      <c r="AQ30" s="4">
        <f t="shared" si="20"/>
        <v>0</v>
      </c>
      <c r="AR30" s="4">
        <f t="shared" si="20"/>
        <v>0</v>
      </c>
      <c r="AS30" s="4">
        <f t="shared" si="20"/>
        <v>0</v>
      </c>
      <c r="AT30" s="4">
        <f t="shared" si="20"/>
        <v>0</v>
      </c>
      <c r="AU30" s="4">
        <f t="shared" si="20"/>
        <v>0</v>
      </c>
      <c r="AV30" s="4">
        <f t="shared" si="20"/>
        <v>0</v>
      </c>
      <c r="AW30" s="4">
        <f t="shared" si="20"/>
        <v>0</v>
      </c>
      <c r="AX30" s="4">
        <f t="shared" si="20"/>
        <v>0</v>
      </c>
      <c r="AY30" s="4">
        <f t="shared" si="21"/>
        <v>0</v>
      </c>
      <c r="AZ30" s="4">
        <f t="shared" si="21"/>
        <v>0</v>
      </c>
      <c r="BA30" s="4">
        <f t="shared" si="21"/>
        <v>0</v>
      </c>
      <c r="BB30" s="4">
        <f t="shared" si="21"/>
        <v>0</v>
      </c>
      <c r="BC30" s="4">
        <f t="shared" si="21"/>
        <v>0</v>
      </c>
      <c r="BD30" s="4">
        <f t="shared" si="21"/>
        <v>0</v>
      </c>
      <c r="BF30" s="2">
        <f t="shared" si="9"/>
        <v>320</v>
      </c>
      <c r="BG30" s="1">
        <f t="shared" si="25"/>
        <v>6.1985347596705719E-7</v>
      </c>
      <c r="BH30" s="1">
        <f t="shared" si="22"/>
        <v>2.2438112840487237E-7</v>
      </c>
      <c r="BI30" s="1">
        <f t="shared" si="22"/>
        <v>0</v>
      </c>
      <c r="BJ30" s="1">
        <f t="shared" si="22"/>
        <v>0</v>
      </c>
      <c r="BK30" s="1">
        <f t="shared" si="22"/>
        <v>0</v>
      </c>
      <c r="BL30" s="1">
        <f t="shared" si="22"/>
        <v>0</v>
      </c>
      <c r="BM30" s="1">
        <f t="shared" si="22"/>
        <v>0</v>
      </c>
      <c r="BN30" s="1">
        <f t="shared" si="22"/>
        <v>0</v>
      </c>
      <c r="BO30" s="1">
        <f t="shared" si="22"/>
        <v>0</v>
      </c>
      <c r="BP30" s="1">
        <f t="shared" si="22"/>
        <v>0</v>
      </c>
      <c r="BQ30" s="1">
        <f t="shared" si="22"/>
        <v>0</v>
      </c>
      <c r="BR30" s="1">
        <f t="shared" si="22"/>
        <v>0</v>
      </c>
      <c r="BS30" s="1">
        <f t="shared" si="22"/>
        <v>0</v>
      </c>
      <c r="BT30" s="1">
        <f t="shared" si="22"/>
        <v>0</v>
      </c>
      <c r="BU30" s="1">
        <f t="shared" si="22"/>
        <v>0</v>
      </c>
      <c r="BV30" s="1">
        <f t="shared" si="22"/>
        <v>0</v>
      </c>
      <c r="BW30" s="1">
        <f t="shared" si="22"/>
        <v>0</v>
      </c>
      <c r="BX30" s="1">
        <f t="shared" si="17"/>
        <v>0</v>
      </c>
      <c r="BY30" s="1">
        <f t="shared" si="17"/>
        <v>0</v>
      </c>
      <c r="BZ30" s="1">
        <f t="shared" si="17"/>
        <v>0</v>
      </c>
      <c r="CA30" s="1">
        <f t="shared" si="17"/>
        <v>0</v>
      </c>
      <c r="CB30" s="1">
        <f t="shared" si="17"/>
        <v>0</v>
      </c>
      <c r="CC30" s="1">
        <f t="shared" si="17"/>
        <v>0</v>
      </c>
      <c r="CD30" s="1">
        <f t="shared" si="17"/>
        <v>0</v>
      </c>
      <c r="CE30" s="1">
        <f t="shared" si="17"/>
        <v>0</v>
      </c>
      <c r="CF30" s="1">
        <f t="shared" si="17"/>
        <v>0</v>
      </c>
      <c r="CG30" s="1">
        <f t="shared" si="17"/>
        <v>0</v>
      </c>
      <c r="CH30" s="1">
        <f t="shared" si="17"/>
        <v>0</v>
      </c>
      <c r="CI30" s="1">
        <f t="shared" si="17"/>
        <v>0</v>
      </c>
      <c r="CJ30" s="1">
        <f t="shared" si="17"/>
        <v>0</v>
      </c>
      <c r="CK30" s="1">
        <f t="shared" si="17"/>
        <v>0</v>
      </c>
      <c r="CL30" s="1">
        <f t="shared" si="17"/>
        <v>0</v>
      </c>
      <c r="CM30" s="1">
        <f t="shared" si="23"/>
        <v>0</v>
      </c>
      <c r="CN30" s="1">
        <f t="shared" si="23"/>
        <v>0</v>
      </c>
      <c r="CO30" s="1">
        <f t="shared" si="23"/>
        <v>0</v>
      </c>
      <c r="CP30" s="1">
        <f t="shared" si="23"/>
        <v>0</v>
      </c>
      <c r="CQ30" s="1">
        <f t="shared" si="23"/>
        <v>0</v>
      </c>
      <c r="CR30" s="1">
        <f t="shared" si="23"/>
        <v>0</v>
      </c>
      <c r="CS30" s="1">
        <f t="shared" si="23"/>
        <v>0</v>
      </c>
      <c r="CT30" s="1">
        <f t="shared" si="23"/>
        <v>0</v>
      </c>
      <c r="CU30" s="1">
        <f t="shared" si="23"/>
        <v>0</v>
      </c>
      <c r="CV30" s="1">
        <f t="shared" si="23"/>
        <v>0</v>
      </c>
      <c r="CW30" s="1">
        <f t="shared" si="23"/>
        <v>0</v>
      </c>
      <c r="CX30" s="1">
        <f t="shared" si="23"/>
        <v>0</v>
      </c>
      <c r="CY30" s="1">
        <f t="shared" si="23"/>
        <v>0</v>
      </c>
      <c r="CZ30" s="1">
        <f t="shared" si="23"/>
        <v>0</v>
      </c>
      <c r="DA30" s="1">
        <f t="shared" si="23"/>
        <v>0</v>
      </c>
      <c r="DB30" s="1">
        <f t="shared" si="23"/>
        <v>0</v>
      </c>
      <c r="DC30" s="1">
        <f t="shared" si="18"/>
        <v>0</v>
      </c>
      <c r="DD30" s="1">
        <f t="shared" si="18"/>
        <v>0</v>
      </c>
    </row>
    <row r="31" spans="1:108" x14ac:dyDescent="0.2">
      <c r="A31">
        <v>340</v>
      </c>
      <c r="B31" s="1">
        <f t="shared" si="24"/>
        <v>2.5295539368215748E-5</v>
      </c>
      <c r="C31" s="3">
        <f t="shared" si="2"/>
        <v>1.25308455409308E-6</v>
      </c>
      <c r="D31" s="5">
        <f t="shared" si="3"/>
        <v>11.386516307678001</v>
      </c>
      <c r="F31" s="1">
        <f t="shared" si="4"/>
        <v>2.5295539368215748E-5</v>
      </c>
      <c r="G31" s="4">
        <f t="shared" si="19"/>
        <v>42.363093605366558</v>
      </c>
      <c r="H31" s="4">
        <f t="shared" si="19"/>
        <v>38.18471810257217</v>
      </c>
      <c r="I31" s="4">
        <f t="shared" si="19"/>
        <v>34.756590590522485</v>
      </c>
      <c r="J31" s="4">
        <f t="shared" si="19"/>
        <v>31.893291465731302</v>
      </c>
      <c r="K31" s="4">
        <f t="shared" si="19"/>
        <v>29.465851241116145</v>
      </c>
      <c r="L31" s="4">
        <f t="shared" si="19"/>
        <v>27.381787497937545</v>
      </c>
      <c r="M31" s="4">
        <f t="shared" si="19"/>
        <v>25.573053922069612</v>
      </c>
      <c r="N31" s="4">
        <f t="shared" si="19"/>
        <v>23.988469626730129</v>
      </c>
      <c r="O31" s="4">
        <f t="shared" si="19"/>
        <v>22.588798862452187</v>
      </c>
      <c r="P31" s="4">
        <f t="shared" si="19"/>
        <v>21.343458286853075</v>
      </c>
      <c r="Q31" s="4">
        <f t="shared" si="19"/>
        <v>0</v>
      </c>
      <c r="R31" s="4">
        <f t="shared" si="19"/>
        <v>0</v>
      </c>
      <c r="S31" s="4">
        <f t="shared" si="19"/>
        <v>0</v>
      </c>
      <c r="T31" s="4">
        <f t="shared" si="19"/>
        <v>0</v>
      </c>
      <c r="U31" s="4">
        <f t="shared" si="19"/>
        <v>0</v>
      </c>
      <c r="V31" s="4">
        <f t="shared" si="19"/>
        <v>0</v>
      </c>
      <c r="W31" s="4">
        <f t="shared" si="16"/>
        <v>0</v>
      </c>
      <c r="X31" s="4">
        <f t="shared" si="16"/>
        <v>0</v>
      </c>
      <c r="Y31" s="4">
        <f t="shared" si="16"/>
        <v>0</v>
      </c>
      <c r="Z31" s="4">
        <f t="shared" si="16"/>
        <v>0</v>
      </c>
      <c r="AA31" s="4">
        <f t="shared" si="16"/>
        <v>0</v>
      </c>
      <c r="AB31" s="4">
        <f t="shared" si="16"/>
        <v>0</v>
      </c>
      <c r="AC31" s="4">
        <f t="shared" si="16"/>
        <v>0</v>
      </c>
      <c r="AD31" s="4">
        <f t="shared" si="16"/>
        <v>0</v>
      </c>
      <c r="AE31" s="4">
        <f t="shared" si="16"/>
        <v>0</v>
      </c>
      <c r="AF31" s="4">
        <f t="shared" si="16"/>
        <v>0</v>
      </c>
      <c r="AG31" s="4">
        <f t="shared" si="16"/>
        <v>0</v>
      </c>
      <c r="AH31" s="4">
        <f t="shared" si="16"/>
        <v>0</v>
      </c>
      <c r="AI31" s="4">
        <f t="shared" si="16"/>
        <v>0</v>
      </c>
      <c r="AJ31" s="4">
        <f t="shared" si="16"/>
        <v>0</v>
      </c>
      <c r="AK31" s="4">
        <f t="shared" si="16"/>
        <v>0</v>
      </c>
      <c r="AL31" s="4">
        <f t="shared" si="20"/>
        <v>0</v>
      </c>
      <c r="AM31" s="4">
        <f t="shared" si="20"/>
        <v>0</v>
      </c>
      <c r="AN31" s="4">
        <f t="shared" si="20"/>
        <v>0</v>
      </c>
      <c r="AO31" s="4">
        <f t="shared" si="20"/>
        <v>0</v>
      </c>
      <c r="AP31" s="4">
        <f t="shared" si="20"/>
        <v>0</v>
      </c>
      <c r="AQ31" s="4">
        <f t="shared" si="20"/>
        <v>0</v>
      </c>
      <c r="AR31" s="4">
        <f t="shared" si="20"/>
        <v>0</v>
      </c>
      <c r="AS31" s="4">
        <f t="shared" si="20"/>
        <v>0</v>
      </c>
      <c r="AT31" s="4">
        <f t="shared" si="20"/>
        <v>0</v>
      </c>
      <c r="AU31" s="4">
        <f t="shared" si="20"/>
        <v>0</v>
      </c>
      <c r="AV31" s="4">
        <f t="shared" si="20"/>
        <v>0</v>
      </c>
      <c r="AW31" s="4">
        <f t="shared" si="20"/>
        <v>0</v>
      </c>
      <c r="AX31" s="4">
        <f t="shared" si="20"/>
        <v>0</v>
      </c>
      <c r="AY31" s="4">
        <f t="shared" si="21"/>
        <v>0</v>
      </c>
      <c r="AZ31" s="4">
        <f t="shared" si="21"/>
        <v>0</v>
      </c>
      <c r="BA31" s="4">
        <f t="shared" si="21"/>
        <v>0</v>
      </c>
      <c r="BB31" s="4">
        <f t="shared" si="21"/>
        <v>0</v>
      </c>
      <c r="BC31" s="4">
        <f t="shared" si="21"/>
        <v>0</v>
      </c>
      <c r="BD31" s="4">
        <f t="shared" si="21"/>
        <v>0</v>
      </c>
      <c r="BF31" s="2">
        <f t="shared" si="9"/>
        <v>340</v>
      </c>
      <c r="BG31" s="1">
        <f t="shared" si="25"/>
        <v>3.7293889899442073E-7</v>
      </c>
      <c r="BH31" s="1">
        <f t="shared" si="22"/>
        <v>1.3500037384139172E-7</v>
      </c>
      <c r="BI31" s="1">
        <f t="shared" si="22"/>
        <v>0</v>
      </c>
      <c r="BJ31" s="1">
        <f t="shared" si="22"/>
        <v>0</v>
      </c>
      <c r="BK31" s="1">
        <f t="shared" si="22"/>
        <v>0</v>
      </c>
      <c r="BL31" s="1">
        <f t="shared" si="22"/>
        <v>0</v>
      </c>
      <c r="BM31" s="1">
        <f t="shared" si="22"/>
        <v>0</v>
      </c>
      <c r="BN31" s="1">
        <f t="shared" si="22"/>
        <v>0</v>
      </c>
      <c r="BO31" s="1">
        <f t="shared" si="22"/>
        <v>0</v>
      </c>
      <c r="BP31" s="1">
        <f t="shared" si="22"/>
        <v>0</v>
      </c>
      <c r="BQ31" s="1">
        <f t="shared" si="22"/>
        <v>0</v>
      </c>
      <c r="BR31" s="1">
        <f t="shared" si="22"/>
        <v>0</v>
      </c>
      <c r="BS31" s="1">
        <f t="shared" si="22"/>
        <v>0</v>
      </c>
      <c r="BT31" s="1">
        <f t="shared" si="22"/>
        <v>0</v>
      </c>
      <c r="BU31" s="1">
        <f t="shared" si="22"/>
        <v>0</v>
      </c>
      <c r="BV31" s="1">
        <f t="shared" si="22"/>
        <v>0</v>
      </c>
      <c r="BW31" s="1">
        <f t="shared" si="22"/>
        <v>0</v>
      </c>
      <c r="BX31" s="1">
        <f t="shared" si="17"/>
        <v>0</v>
      </c>
      <c r="BY31" s="1">
        <f t="shared" si="17"/>
        <v>0</v>
      </c>
      <c r="BZ31" s="1">
        <f t="shared" si="17"/>
        <v>0</v>
      </c>
      <c r="CA31" s="1">
        <f t="shared" si="17"/>
        <v>0</v>
      </c>
      <c r="CB31" s="1">
        <f t="shared" si="17"/>
        <v>0</v>
      </c>
      <c r="CC31" s="1">
        <f t="shared" si="17"/>
        <v>0</v>
      </c>
      <c r="CD31" s="1">
        <f t="shared" si="17"/>
        <v>0</v>
      </c>
      <c r="CE31" s="1">
        <f t="shared" si="17"/>
        <v>0</v>
      </c>
      <c r="CF31" s="1">
        <f t="shared" si="17"/>
        <v>0</v>
      </c>
      <c r="CG31" s="1">
        <f t="shared" si="17"/>
        <v>0</v>
      </c>
      <c r="CH31" s="1">
        <f t="shared" si="17"/>
        <v>0</v>
      </c>
      <c r="CI31" s="1">
        <f t="shared" si="17"/>
        <v>0</v>
      </c>
      <c r="CJ31" s="1">
        <f t="shared" si="17"/>
        <v>0</v>
      </c>
      <c r="CK31" s="1">
        <f t="shared" si="17"/>
        <v>0</v>
      </c>
      <c r="CL31" s="1">
        <f t="shared" si="17"/>
        <v>0</v>
      </c>
      <c r="CM31" s="1">
        <f t="shared" si="23"/>
        <v>0</v>
      </c>
      <c r="CN31" s="1">
        <f t="shared" si="23"/>
        <v>0</v>
      </c>
      <c r="CO31" s="1">
        <f t="shared" si="23"/>
        <v>0</v>
      </c>
      <c r="CP31" s="1">
        <f t="shared" si="23"/>
        <v>0</v>
      </c>
      <c r="CQ31" s="1">
        <f t="shared" si="23"/>
        <v>0</v>
      </c>
      <c r="CR31" s="1">
        <f t="shared" si="23"/>
        <v>0</v>
      </c>
      <c r="CS31" s="1">
        <f t="shared" si="23"/>
        <v>0</v>
      </c>
      <c r="CT31" s="1">
        <f t="shared" si="23"/>
        <v>0</v>
      </c>
      <c r="CU31" s="1">
        <f t="shared" si="23"/>
        <v>0</v>
      </c>
      <c r="CV31" s="1">
        <f t="shared" si="23"/>
        <v>0</v>
      </c>
      <c r="CW31" s="1">
        <f t="shared" si="23"/>
        <v>0</v>
      </c>
      <c r="CX31" s="1">
        <f t="shared" si="23"/>
        <v>0</v>
      </c>
      <c r="CY31" s="1">
        <f t="shared" si="23"/>
        <v>0</v>
      </c>
      <c r="CZ31" s="1">
        <f t="shared" si="23"/>
        <v>0</v>
      </c>
      <c r="DA31" s="1">
        <f t="shared" si="23"/>
        <v>0</v>
      </c>
      <c r="DB31" s="1">
        <f t="shared" si="23"/>
        <v>0</v>
      </c>
      <c r="DC31" s="1">
        <f t="shared" si="18"/>
        <v>0</v>
      </c>
      <c r="DD31" s="1">
        <f t="shared" si="18"/>
        <v>0</v>
      </c>
    </row>
    <row r="32" spans="1:108" x14ac:dyDescent="0.2">
      <c r="A32">
        <v>360</v>
      </c>
      <c r="B32" s="1">
        <f t="shared" si="24"/>
        <v>2.4042454814122668E-5</v>
      </c>
      <c r="C32" s="3">
        <f t="shared" si="2"/>
        <v>1.1910095424933037E-6</v>
      </c>
      <c r="D32" s="5">
        <f t="shared" si="3"/>
        <v>11.649822624549969</v>
      </c>
      <c r="F32" s="1">
        <f t="shared" si="4"/>
        <v>2.4042454814122668E-5</v>
      </c>
      <c r="G32" s="4">
        <f t="shared" si="19"/>
        <v>45.760439297506856</v>
      </c>
      <c r="H32" s="4">
        <f t="shared" si="19"/>
        <v>41.258666631702418</v>
      </c>
      <c r="I32" s="4">
        <f t="shared" si="19"/>
        <v>37.563303248059178</v>
      </c>
      <c r="J32" s="4">
        <f t="shared" si="19"/>
        <v>34.475480969518628</v>
      </c>
      <c r="K32" s="4">
        <f t="shared" si="19"/>
        <v>31.856754997677498</v>
      </c>
      <c r="L32" s="4">
        <f t="shared" si="19"/>
        <v>29.607775478506802</v>
      </c>
      <c r="M32" s="4">
        <f t="shared" si="19"/>
        <v>27.655397627606913</v>
      </c>
      <c r="N32" s="4">
        <f t="shared" si="19"/>
        <v>25.944576224985294</v>
      </c>
      <c r="O32" s="4">
        <f t="shared" si="19"/>
        <v>24.433093379952943</v>
      </c>
      <c r="P32" s="4">
        <f t="shared" si="19"/>
        <v>23.088027746145336</v>
      </c>
      <c r="Q32" s="4">
        <f t="shared" si="19"/>
        <v>0</v>
      </c>
      <c r="R32" s="4">
        <f t="shared" si="19"/>
        <v>0</v>
      </c>
      <c r="S32" s="4">
        <f t="shared" si="19"/>
        <v>0</v>
      </c>
      <c r="T32" s="4">
        <f t="shared" si="19"/>
        <v>0</v>
      </c>
      <c r="U32" s="4">
        <f t="shared" si="19"/>
        <v>0</v>
      </c>
      <c r="V32" s="4">
        <f t="shared" si="19"/>
        <v>0</v>
      </c>
      <c r="W32" s="4">
        <f t="shared" si="16"/>
        <v>0</v>
      </c>
      <c r="X32" s="4">
        <f t="shared" si="16"/>
        <v>0</v>
      </c>
      <c r="Y32" s="4">
        <f t="shared" si="16"/>
        <v>0</v>
      </c>
      <c r="Z32" s="4">
        <f t="shared" si="16"/>
        <v>0</v>
      </c>
      <c r="AA32" s="4">
        <f t="shared" si="16"/>
        <v>0</v>
      </c>
      <c r="AB32" s="4">
        <f t="shared" si="16"/>
        <v>0</v>
      </c>
      <c r="AC32" s="4">
        <f t="shared" si="16"/>
        <v>0</v>
      </c>
      <c r="AD32" s="4">
        <f t="shared" si="16"/>
        <v>0</v>
      </c>
      <c r="AE32" s="4">
        <f t="shared" si="16"/>
        <v>0</v>
      </c>
      <c r="AF32" s="4">
        <f t="shared" si="16"/>
        <v>0</v>
      </c>
      <c r="AG32" s="4">
        <f t="shared" si="16"/>
        <v>0</v>
      </c>
      <c r="AH32" s="4">
        <f t="shared" si="16"/>
        <v>0</v>
      </c>
      <c r="AI32" s="4">
        <f t="shared" si="16"/>
        <v>0</v>
      </c>
      <c r="AJ32" s="4">
        <f t="shared" si="16"/>
        <v>0</v>
      </c>
      <c r="AK32" s="4">
        <f t="shared" si="16"/>
        <v>0</v>
      </c>
      <c r="AL32" s="4">
        <f t="shared" si="20"/>
        <v>0</v>
      </c>
      <c r="AM32" s="4">
        <f t="shared" si="20"/>
        <v>0</v>
      </c>
      <c r="AN32" s="4">
        <f t="shared" si="20"/>
        <v>0</v>
      </c>
      <c r="AO32" s="4">
        <f t="shared" si="20"/>
        <v>0</v>
      </c>
      <c r="AP32" s="4">
        <f t="shared" si="20"/>
        <v>0</v>
      </c>
      <c r="AQ32" s="4">
        <f t="shared" si="20"/>
        <v>0</v>
      </c>
      <c r="AR32" s="4">
        <f t="shared" si="20"/>
        <v>0</v>
      </c>
      <c r="AS32" s="4">
        <f t="shared" si="20"/>
        <v>0</v>
      </c>
      <c r="AT32" s="4">
        <f t="shared" si="20"/>
        <v>0</v>
      </c>
      <c r="AU32" s="4">
        <f t="shared" si="20"/>
        <v>0</v>
      </c>
      <c r="AV32" s="4">
        <f t="shared" si="20"/>
        <v>0</v>
      </c>
      <c r="AW32" s="4">
        <f t="shared" si="20"/>
        <v>0</v>
      </c>
      <c r="AX32" s="4">
        <f t="shared" si="20"/>
        <v>0</v>
      </c>
      <c r="AY32" s="4">
        <f t="shared" si="21"/>
        <v>0</v>
      </c>
      <c r="AZ32" s="4">
        <f t="shared" si="21"/>
        <v>0</v>
      </c>
      <c r="BA32" s="4">
        <f t="shared" si="21"/>
        <v>0</v>
      </c>
      <c r="BB32" s="4">
        <f t="shared" si="21"/>
        <v>0</v>
      </c>
      <c r="BC32" s="4">
        <f t="shared" si="21"/>
        <v>0</v>
      </c>
      <c r="BD32" s="4">
        <f t="shared" si="21"/>
        <v>0</v>
      </c>
      <c r="BF32" s="2">
        <f t="shared" si="9"/>
        <v>360</v>
      </c>
      <c r="BG32" s="1">
        <f t="shared" si="25"/>
        <v>2.2438112840487237E-7</v>
      </c>
      <c r="BH32" s="1">
        <f t="shared" si="22"/>
        <v>8.1223858115332338E-8</v>
      </c>
      <c r="BI32" s="1">
        <f t="shared" si="22"/>
        <v>0</v>
      </c>
      <c r="BJ32" s="1">
        <f t="shared" si="22"/>
        <v>0</v>
      </c>
      <c r="BK32" s="1">
        <f t="shared" si="22"/>
        <v>0</v>
      </c>
      <c r="BL32" s="1">
        <f t="shared" si="22"/>
        <v>0</v>
      </c>
      <c r="BM32" s="1">
        <f t="shared" si="22"/>
        <v>0</v>
      </c>
      <c r="BN32" s="1">
        <f t="shared" si="22"/>
        <v>0</v>
      </c>
      <c r="BO32" s="1">
        <f t="shared" si="22"/>
        <v>0</v>
      </c>
      <c r="BP32" s="1">
        <f t="shared" si="22"/>
        <v>0</v>
      </c>
      <c r="BQ32" s="1">
        <f t="shared" si="22"/>
        <v>0</v>
      </c>
      <c r="BR32" s="1">
        <f t="shared" si="22"/>
        <v>0</v>
      </c>
      <c r="BS32" s="1">
        <f t="shared" si="22"/>
        <v>0</v>
      </c>
      <c r="BT32" s="1">
        <f t="shared" si="22"/>
        <v>0</v>
      </c>
      <c r="BU32" s="1">
        <f t="shared" si="22"/>
        <v>0</v>
      </c>
      <c r="BV32" s="1">
        <f t="shared" si="22"/>
        <v>0</v>
      </c>
      <c r="BW32" s="1">
        <f t="shared" si="22"/>
        <v>0</v>
      </c>
      <c r="BX32" s="1">
        <f t="shared" si="17"/>
        <v>0</v>
      </c>
      <c r="BY32" s="1">
        <f t="shared" si="17"/>
        <v>0</v>
      </c>
      <c r="BZ32" s="1">
        <f t="shared" si="17"/>
        <v>0</v>
      </c>
      <c r="CA32" s="1">
        <f t="shared" si="17"/>
        <v>0</v>
      </c>
      <c r="CB32" s="1">
        <f t="shared" si="17"/>
        <v>0</v>
      </c>
      <c r="CC32" s="1">
        <f t="shared" si="17"/>
        <v>0</v>
      </c>
      <c r="CD32" s="1">
        <f t="shared" si="17"/>
        <v>0</v>
      </c>
      <c r="CE32" s="1">
        <f t="shared" si="17"/>
        <v>0</v>
      </c>
      <c r="CF32" s="1">
        <f t="shared" si="17"/>
        <v>0</v>
      </c>
      <c r="CG32" s="1">
        <f t="shared" si="17"/>
        <v>0</v>
      </c>
      <c r="CH32" s="1">
        <f t="shared" si="17"/>
        <v>0</v>
      </c>
      <c r="CI32" s="1">
        <f t="shared" si="17"/>
        <v>0</v>
      </c>
      <c r="CJ32" s="1">
        <f t="shared" si="17"/>
        <v>0</v>
      </c>
      <c r="CK32" s="1">
        <f t="shared" si="17"/>
        <v>0</v>
      </c>
      <c r="CL32" s="1">
        <f t="shared" si="17"/>
        <v>0</v>
      </c>
      <c r="CM32" s="1">
        <f t="shared" si="23"/>
        <v>0</v>
      </c>
      <c r="CN32" s="1">
        <f t="shared" si="23"/>
        <v>0</v>
      </c>
      <c r="CO32" s="1">
        <f t="shared" si="23"/>
        <v>0</v>
      </c>
      <c r="CP32" s="1">
        <f t="shared" si="23"/>
        <v>0</v>
      </c>
      <c r="CQ32" s="1">
        <f t="shared" si="23"/>
        <v>0</v>
      </c>
      <c r="CR32" s="1">
        <f t="shared" si="23"/>
        <v>0</v>
      </c>
      <c r="CS32" s="1">
        <f t="shared" si="23"/>
        <v>0</v>
      </c>
      <c r="CT32" s="1">
        <f t="shared" si="23"/>
        <v>0</v>
      </c>
      <c r="CU32" s="1">
        <f t="shared" si="23"/>
        <v>0</v>
      </c>
      <c r="CV32" s="1">
        <f t="shared" si="23"/>
        <v>0</v>
      </c>
      <c r="CW32" s="1">
        <f t="shared" si="23"/>
        <v>0</v>
      </c>
      <c r="CX32" s="1">
        <f t="shared" si="23"/>
        <v>0</v>
      </c>
      <c r="CY32" s="1">
        <f t="shared" si="23"/>
        <v>0</v>
      </c>
      <c r="CZ32" s="1">
        <f t="shared" si="23"/>
        <v>0</v>
      </c>
      <c r="DA32" s="1">
        <f t="shared" si="23"/>
        <v>0</v>
      </c>
      <c r="DB32" s="1">
        <f t="shared" si="23"/>
        <v>0</v>
      </c>
      <c r="DC32" s="1">
        <f t="shared" si="18"/>
        <v>0</v>
      </c>
      <c r="DD32" s="1">
        <f t="shared" si="18"/>
        <v>0</v>
      </c>
    </row>
    <row r="33" spans="1:108" x14ac:dyDescent="0.2">
      <c r="A33">
        <v>380</v>
      </c>
      <c r="B33" s="1">
        <f t="shared" si="24"/>
        <v>2.2851445271629364E-5</v>
      </c>
      <c r="C33" s="3">
        <f t="shared" si="2"/>
        <v>1.1320095884005237E-6</v>
      </c>
      <c r="D33" s="5">
        <f t="shared" si="3"/>
        <v>11.904490481852788</v>
      </c>
      <c r="F33" s="1">
        <f t="shared" si="4"/>
        <v>2.2851445271629364E-5</v>
      </c>
      <c r="G33" s="4">
        <f t="shared" si="19"/>
        <v>49.221821038192878</v>
      </c>
      <c r="H33" s="4">
        <f t="shared" si="19"/>
        <v>44.391629472988178</v>
      </c>
      <c r="I33" s="4">
        <f t="shared" si="19"/>
        <v>40.424708281368346</v>
      </c>
      <c r="J33" s="4">
        <f t="shared" si="19"/>
        <v>37.108611546819738</v>
      </c>
      <c r="K33" s="4">
        <f t="shared" si="19"/>
        <v>34.295317517840104</v>
      </c>
      <c r="L33" s="4">
        <f t="shared" si="19"/>
        <v>31.878528774835118</v>
      </c>
      <c r="M33" s="4">
        <f t="shared" si="19"/>
        <v>29.779938491314599</v>
      </c>
      <c r="N33" s="4">
        <f t="shared" si="19"/>
        <v>27.940586265648413</v>
      </c>
      <c r="O33" s="4">
        <f t="shared" si="19"/>
        <v>26.315231035698908</v>
      </c>
      <c r="P33" s="4">
        <f t="shared" si="19"/>
        <v>24.868580050558755</v>
      </c>
      <c r="Q33" s="4">
        <f t="shared" si="19"/>
        <v>0</v>
      </c>
      <c r="R33" s="4">
        <f t="shared" si="19"/>
        <v>0</v>
      </c>
      <c r="S33" s="4">
        <f t="shared" si="19"/>
        <v>0</v>
      </c>
      <c r="T33" s="4">
        <f t="shared" si="19"/>
        <v>0</v>
      </c>
      <c r="U33" s="4">
        <f t="shared" si="19"/>
        <v>0</v>
      </c>
      <c r="V33" s="4">
        <f t="shared" si="19"/>
        <v>0</v>
      </c>
      <c r="W33" s="4">
        <f t="shared" si="16"/>
        <v>0</v>
      </c>
      <c r="X33" s="4">
        <f t="shared" si="16"/>
        <v>0</v>
      </c>
      <c r="Y33" s="4">
        <f t="shared" si="16"/>
        <v>0</v>
      </c>
      <c r="Z33" s="4">
        <f t="shared" si="16"/>
        <v>0</v>
      </c>
      <c r="AA33" s="4">
        <f t="shared" si="16"/>
        <v>0</v>
      </c>
      <c r="AB33" s="4">
        <f t="shared" si="16"/>
        <v>0</v>
      </c>
      <c r="AC33" s="4">
        <f t="shared" si="16"/>
        <v>0</v>
      </c>
      <c r="AD33" s="4">
        <f t="shared" si="16"/>
        <v>0</v>
      </c>
      <c r="AE33" s="4">
        <f t="shared" si="16"/>
        <v>0</v>
      </c>
      <c r="AF33" s="4">
        <f t="shared" si="16"/>
        <v>0</v>
      </c>
      <c r="AG33" s="4">
        <f t="shared" si="16"/>
        <v>0</v>
      </c>
      <c r="AH33" s="4">
        <f t="shared" si="16"/>
        <v>0</v>
      </c>
      <c r="AI33" s="4">
        <f t="shared" si="16"/>
        <v>0</v>
      </c>
      <c r="AJ33" s="4">
        <f t="shared" si="16"/>
        <v>0</v>
      </c>
      <c r="AK33" s="4">
        <f t="shared" si="16"/>
        <v>0</v>
      </c>
      <c r="AL33" s="4">
        <f t="shared" si="20"/>
        <v>0</v>
      </c>
      <c r="AM33" s="4">
        <f t="shared" si="20"/>
        <v>0</v>
      </c>
      <c r="AN33" s="4">
        <f t="shared" si="20"/>
        <v>0</v>
      </c>
      <c r="AO33" s="4">
        <f t="shared" si="20"/>
        <v>0</v>
      </c>
      <c r="AP33" s="4">
        <f t="shared" si="20"/>
        <v>0</v>
      </c>
      <c r="AQ33" s="4">
        <f t="shared" si="20"/>
        <v>0</v>
      </c>
      <c r="AR33" s="4">
        <f t="shared" si="20"/>
        <v>0</v>
      </c>
      <c r="AS33" s="4">
        <f t="shared" si="20"/>
        <v>0</v>
      </c>
      <c r="AT33" s="4">
        <f t="shared" si="20"/>
        <v>0</v>
      </c>
      <c r="AU33" s="4">
        <f t="shared" si="20"/>
        <v>0</v>
      </c>
      <c r="AV33" s="4">
        <f t="shared" si="20"/>
        <v>0</v>
      </c>
      <c r="AW33" s="4">
        <f t="shared" si="20"/>
        <v>0</v>
      </c>
      <c r="AX33" s="4">
        <f t="shared" si="20"/>
        <v>0</v>
      </c>
      <c r="AY33" s="4">
        <f t="shared" si="21"/>
        <v>0</v>
      </c>
      <c r="AZ33" s="4">
        <f t="shared" si="21"/>
        <v>0</v>
      </c>
      <c r="BA33" s="4">
        <f t="shared" si="21"/>
        <v>0</v>
      </c>
      <c r="BB33" s="4">
        <f t="shared" si="21"/>
        <v>0</v>
      </c>
      <c r="BC33" s="4">
        <f t="shared" si="21"/>
        <v>0</v>
      </c>
      <c r="BD33" s="4">
        <f t="shared" si="21"/>
        <v>0</v>
      </c>
      <c r="BF33" s="2">
        <f t="shared" si="9"/>
        <v>380</v>
      </c>
      <c r="BG33" s="1">
        <f t="shared" si="25"/>
        <v>1.3500037384139172E-7</v>
      </c>
      <c r="BH33" s="1">
        <f t="shared" si="22"/>
        <v>0</v>
      </c>
      <c r="BI33" s="1">
        <f t="shared" si="22"/>
        <v>0</v>
      </c>
      <c r="BJ33" s="1">
        <f t="shared" si="22"/>
        <v>0</v>
      </c>
      <c r="BK33" s="1">
        <f t="shared" si="22"/>
        <v>0</v>
      </c>
      <c r="BL33" s="1">
        <f t="shared" si="22"/>
        <v>0</v>
      </c>
      <c r="BM33" s="1">
        <f t="shared" si="22"/>
        <v>0</v>
      </c>
      <c r="BN33" s="1">
        <f t="shared" si="22"/>
        <v>0</v>
      </c>
      <c r="BO33" s="1">
        <f t="shared" si="22"/>
        <v>0</v>
      </c>
      <c r="BP33" s="1">
        <f t="shared" si="22"/>
        <v>0</v>
      </c>
      <c r="BQ33" s="1">
        <f t="shared" si="22"/>
        <v>0</v>
      </c>
      <c r="BR33" s="1">
        <f t="shared" si="22"/>
        <v>0</v>
      </c>
      <c r="BS33" s="1">
        <f t="shared" si="22"/>
        <v>0</v>
      </c>
      <c r="BT33" s="1">
        <f t="shared" si="22"/>
        <v>0</v>
      </c>
      <c r="BU33" s="1">
        <f t="shared" si="22"/>
        <v>0</v>
      </c>
      <c r="BV33" s="1">
        <f t="shared" si="22"/>
        <v>0</v>
      </c>
      <c r="BW33" s="1">
        <f t="shared" si="22"/>
        <v>0</v>
      </c>
      <c r="BX33" s="1">
        <f t="shared" si="17"/>
        <v>0</v>
      </c>
      <c r="BY33" s="1">
        <f t="shared" si="17"/>
        <v>0</v>
      </c>
      <c r="BZ33" s="1">
        <f t="shared" si="17"/>
        <v>0</v>
      </c>
      <c r="CA33" s="1">
        <f t="shared" si="17"/>
        <v>0</v>
      </c>
      <c r="CB33" s="1">
        <f t="shared" si="17"/>
        <v>0</v>
      </c>
      <c r="CC33" s="1">
        <f t="shared" si="17"/>
        <v>0</v>
      </c>
      <c r="CD33" s="1">
        <f t="shared" si="17"/>
        <v>0</v>
      </c>
      <c r="CE33" s="1">
        <f t="shared" si="17"/>
        <v>0</v>
      </c>
      <c r="CF33" s="1">
        <f t="shared" si="17"/>
        <v>0</v>
      </c>
      <c r="CG33" s="1">
        <f t="shared" si="17"/>
        <v>0</v>
      </c>
      <c r="CH33" s="1">
        <f t="shared" si="17"/>
        <v>0</v>
      </c>
      <c r="CI33" s="1">
        <f t="shared" si="17"/>
        <v>0</v>
      </c>
      <c r="CJ33" s="1">
        <f t="shared" si="17"/>
        <v>0</v>
      </c>
      <c r="CK33" s="1">
        <f t="shared" si="17"/>
        <v>0</v>
      </c>
      <c r="CL33" s="1">
        <f t="shared" si="17"/>
        <v>0</v>
      </c>
      <c r="CM33" s="1">
        <f t="shared" si="23"/>
        <v>0</v>
      </c>
      <c r="CN33" s="1">
        <f t="shared" si="23"/>
        <v>0</v>
      </c>
      <c r="CO33" s="1">
        <f t="shared" si="23"/>
        <v>0</v>
      </c>
      <c r="CP33" s="1">
        <f t="shared" si="23"/>
        <v>0</v>
      </c>
      <c r="CQ33" s="1">
        <f t="shared" si="23"/>
        <v>0</v>
      </c>
      <c r="CR33" s="1">
        <f t="shared" si="23"/>
        <v>0</v>
      </c>
      <c r="CS33" s="1">
        <f t="shared" si="23"/>
        <v>0</v>
      </c>
      <c r="CT33" s="1">
        <f t="shared" si="23"/>
        <v>0</v>
      </c>
      <c r="CU33" s="1">
        <f t="shared" si="23"/>
        <v>0</v>
      </c>
      <c r="CV33" s="1">
        <f t="shared" si="23"/>
        <v>0</v>
      </c>
      <c r="CW33" s="1">
        <f t="shared" si="23"/>
        <v>0</v>
      </c>
      <c r="CX33" s="1">
        <f t="shared" si="23"/>
        <v>0</v>
      </c>
      <c r="CY33" s="1">
        <f t="shared" si="23"/>
        <v>0</v>
      </c>
      <c r="CZ33" s="1">
        <f t="shared" si="23"/>
        <v>0</v>
      </c>
      <c r="DA33" s="1">
        <f t="shared" si="23"/>
        <v>0</v>
      </c>
      <c r="DB33" s="1">
        <f t="shared" si="23"/>
        <v>0</v>
      </c>
      <c r="DC33" s="1">
        <f t="shared" si="18"/>
        <v>0</v>
      </c>
      <c r="DD33" s="1">
        <f t="shared" si="18"/>
        <v>0</v>
      </c>
    </row>
    <row r="34" spans="1:108" x14ac:dyDescent="0.2">
      <c r="A34">
        <v>400</v>
      </c>
      <c r="B34" s="1">
        <f t="shared" si="24"/>
        <v>2.171943568322884E-5</v>
      </c>
      <c r="C34" s="3">
        <f t="shared" si="2"/>
        <v>1.0759323603303282E-6</v>
      </c>
      <c r="D34" s="5">
        <f t="shared" si="3"/>
        <v>12.151236648513336</v>
      </c>
      <c r="F34" s="1">
        <f t="shared" si="4"/>
        <v>2.171943568322884E-5</v>
      </c>
      <c r="G34" s="4">
        <f t="shared" si="19"/>
        <v>52.744757815290242</v>
      </c>
      <c r="H34" s="4">
        <f t="shared" si="19"/>
        <v>47.581358962197861</v>
      </c>
      <c r="I34" s="4">
        <f t="shared" si="19"/>
        <v>43.338752247898327</v>
      </c>
      <c r="J34" s="4">
        <f t="shared" si="19"/>
        <v>39.790793714117427</v>
      </c>
      <c r="K34" s="4">
        <f t="shared" si="19"/>
        <v>36.779789449363534</v>
      </c>
      <c r="L34" s="4">
        <f t="shared" si="19"/>
        <v>34.19241910236429</v>
      </c>
      <c r="M34" s="4">
        <f t="shared" si="19"/>
        <v>31.945153825030225</v>
      </c>
      <c r="N34" s="4">
        <f t="shared" si="19"/>
        <v>29.975069940053384</v>
      </c>
      <c r="O34" s="4">
        <f t="shared" si="19"/>
        <v>28.233864327847733</v>
      </c>
      <c r="P34" s="4">
        <f t="shared" si="19"/>
        <v>26.68384112474816</v>
      </c>
      <c r="Q34" s="4">
        <f t="shared" si="19"/>
        <v>0</v>
      </c>
      <c r="R34" s="4">
        <f t="shared" si="19"/>
        <v>0</v>
      </c>
      <c r="S34" s="4">
        <f t="shared" si="19"/>
        <v>0</v>
      </c>
      <c r="T34" s="4">
        <f t="shared" si="19"/>
        <v>0</v>
      </c>
      <c r="U34" s="4">
        <f t="shared" si="19"/>
        <v>0</v>
      </c>
      <c r="V34" s="4">
        <f t="shared" si="19"/>
        <v>0</v>
      </c>
      <c r="W34" s="4">
        <f t="shared" si="16"/>
        <v>0</v>
      </c>
      <c r="X34" s="4">
        <f t="shared" si="16"/>
        <v>0</v>
      </c>
      <c r="Y34" s="4">
        <f t="shared" si="16"/>
        <v>0</v>
      </c>
      <c r="Z34" s="4">
        <f t="shared" si="16"/>
        <v>0</v>
      </c>
      <c r="AA34" s="4">
        <f t="shared" si="16"/>
        <v>0</v>
      </c>
      <c r="AB34" s="4">
        <f t="shared" si="16"/>
        <v>0</v>
      </c>
      <c r="AC34" s="4">
        <f t="shared" si="16"/>
        <v>0</v>
      </c>
      <c r="AD34" s="4">
        <f t="shared" si="16"/>
        <v>0</v>
      </c>
      <c r="AE34" s="4">
        <f t="shared" si="16"/>
        <v>0</v>
      </c>
      <c r="AF34" s="4">
        <f t="shared" si="16"/>
        <v>0</v>
      </c>
      <c r="AG34" s="4">
        <f t="shared" si="16"/>
        <v>0</v>
      </c>
      <c r="AH34" s="4">
        <f t="shared" si="16"/>
        <v>0</v>
      </c>
      <c r="AI34" s="4">
        <f t="shared" si="16"/>
        <v>0</v>
      </c>
      <c r="AJ34" s="4">
        <f t="shared" si="16"/>
        <v>0</v>
      </c>
      <c r="AK34" s="4">
        <f t="shared" si="16"/>
        <v>0</v>
      </c>
      <c r="AL34" s="4">
        <f t="shared" si="20"/>
        <v>0</v>
      </c>
      <c r="AM34" s="4">
        <f t="shared" si="20"/>
        <v>0</v>
      </c>
      <c r="AN34" s="4">
        <f t="shared" si="20"/>
        <v>0</v>
      </c>
      <c r="AO34" s="4">
        <f t="shared" si="20"/>
        <v>0</v>
      </c>
      <c r="AP34" s="4">
        <f t="shared" si="20"/>
        <v>0</v>
      </c>
      <c r="AQ34" s="4">
        <f t="shared" si="20"/>
        <v>0</v>
      </c>
      <c r="AR34" s="4">
        <f t="shared" si="20"/>
        <v>0</v>
      </c>
      <c r="AS34" s="4">
        <f t="shared" si="20"/>
        <v>0</v>
      </c>
      <c r="AT34" s="4">
        <f t="shared" si="20"/>
        <v>0</v>
      </c>
      <c r="AU34" s="4">
        <f t="shared" si="20"/>
        <v>0</v>
      </c>
      <c r="AV34" s="4">
        <f t="shared" si="20"/>
        <v>0</v>
      </c>
      <c r="AW34" s="4">
        <f t="shared" si="20"/>
        <v>0</v>
      </c>
      <c r="AX34" s="4">
        <f t="shared" si="20"/>
        <v>0</v>
      </c>
      <c r="AY34" s="4">
        <f t="shared" si="21"/>
        <v>0</v>
      </c>
      <c r="AZ34" s="4">
        <f t="shared" si="21"/>
        <v>0</v>
      </c>
      <c r="BA34" s="4">
        <f t="shared" si="21"/>
        <v>0</v>
      </c>
      <c r="BB34" s="4">
        <f t="shared" si="21"/>
        <v>0</v>
      </c>
      <c r="BC34" s="4">
        <f t="shared" si="21"/>
        <v>0</v>
      </c>
      <c r="BD34" s="4">
        <f t="shared" si="21"/>
        <v>0</v>
      </c>
      <c r="BF34" s="2">
        <f t="shared" si="9"/>
        <v>400</v>
      </c>
      <c r="BG34" s="1">
        <f t="shared" si="25"/>
        <v>8.1223858115332338E-8</v>
      </c>
      <c r="BH34" s="1">
        <f t="shared" si="22"/>
        <v>0</v>
      </c>
      <c r="BI34" s="1">
        <f t="shared" si="22"/>
        <v>0</v>
      </c>
      <c r="BJ34" s="1">
        <f t="shared" si="22"/>
        <v>0</v>
      </c>
      <c r="BK34" s="1">
        <f t="shared" si="22"/>
        <v>0</v>
      </c>
      <c r="BL34" s="1">
        <f t="shared" si="22"/>
        <v>0</v>
      </c>
      <c r="BM34" s="1">
        <f t="shared" si="22"/>
        <v>0</v>
      </c>
      <c r="BN34" s="1">
        <f t="shared" si="22"/>
        <v>0</v>
      </c>
      <c r="BO34" s="1">
        <f t="shared" si="22"/>
        <v>0</v>
      </c>
      <c r="BP34" s="1">
        <f t="shared" si="22"/>
        <v>0</v>
      </c>
      <c r="BQ34" s="1">
        <f t="shared" si="22"/>
        <v>0</v>
      </c>
      <c r="BR34" s="1">
        <f t="shared" si="22"/>
        <v>0</v>
      </c>
      <c r="BS34" s="1">
        <f t="shared" si="22"/>
        <v>0</v>
      </c>
      <c r="BT34" s="1">
        <f t="shared" si="22"/>
        <v>0</v>
      </c>
      <c r="BU34" s="1">
        <f t="shared" si="22"/>
        <v>0</v>
      </c>
      <c r="BV34" s="1">
        <f t="shared" si="22"/>
        <v>0</v>
      </c>
      <c r="BW34" s="1">
        <f t="shared" si="22"/>
        <v>0</v>
      </c>
      <c r="BX34" s="1">
        <f t="shared" si="17"/>
        <v>0</v>
      </c>
      <c r="BY34" s="1">
        <f t="shared" si="17"/>
        <v>0</v>
      </c>
      <c r="BZ34" s="1">
        <f t="shared" si="17"/>
        <v>0</v>
      </c>
      <c r="CA34" s="1">
        <f t="shared" si="17"/>
        <v>0</v>
      </c>
      <c r="CB34" s="1">
        <f t="shared" si="17"/>
        <v>0</v>
      </c>
      <c r="CC34" s="1">
        <f t="shared" si="17"/>
        <v>0</v>
      </c>
      <c r="CD34" s="1">
        <f t="shared" si="17"/>
        <v>0</v>
      </c>
      <c r="CE34" s="1">
        <f t="shared" si="17"/>
        <v>0</v>
      </c>
      <c r="CF34" s="1">
        <f t="shared" si="17"/>
        <v>0</v>
      </c>
      <c r="CG34" s="1">
        <f t="shared" si="17"/>
        <v>0</v>
      </c>
      <c r="CH34" s="1">
        <f t="shared" si="17"/>
        <v>0</v>
      </c>
      <c r="CI34" s="1">
        <f t="shared" si="17"/>
        <v>0</v>
      </c>
      <c r="CJ34" s="1">
        <f t="shared" si="17"/>
        <v>0</v>
      </c>
      <c r="CK34" s="1">
        <f t="shared" si="17"/>
        <v>0</v>
      </c>
      <c r="CL34" s="1">
        <f t="shared" si="17"/>
        <v>0</v>
      </c>
      <c r="CM34" s="1">
        <f t="shared" si="23"/>
        <v>0</v>
      </c>
      <c r="CN34" s="1">
        <f t="shared" si="23"/>
        <v>0</v>
      </c>
      <c r="CO34" s="1">
        <f t="shared" si="23"/>
        <v>0</v>
      </c>
      <c r="CP34" s="1">
        <f t="shared" si="23"/>
        <v>0</v>
      </c>
      <c r="CQ34" s="1">
        <f t="shared" si="23"/>
        <v>0</v>
      </c>
      <c r="CR34" s="1">
        <f t="shared" si="23"/>
        <v>0</v>
      </c>
      <c r="CS34" s="1">
        <f t="shared" si="23"/>
        <v>0</v>
      </c>
      <c r="CT34" s="1">
        <f t="shared" si="23"/>
        <v>0</v>
      </c>
      <c r="CU34" s="1">
        <f t="shared" si="23"/>
        <v>0</v>
      </c>
      <c r="CV34" s="1">
        <f t="shared" si="23"/>
        <v>0</v>
      </c>
      <c r="CW34" s="1">
        <f t="shared" si="23"/>
        <v>0</v>
      </c>
      <c r="CX34" s="1">
        <f t="shared" si="23"/>
        <v>0</v>
      </c>
      <c r="CY34" s="1">
        <f t="shared" si="23"/>
        <v>0</v>
      </c>
      <c r="CZ34" s="1">
        <f t="shared" si="23"/>
        <v>0</v>
      </c>
      <c r="DA34" s="1">
        <f t="shared" si="23"/>
        <v>0</v>
      </c>
      <c r="DB34" s="1">
        <f t="shared" si="23"/>
        <v>0</v>
      </c>
      <c r="DC34" s="1">
        <f t="shared" si="18"/>
        <v>0</v>
      </c>
      <c r="DD34" s="1">
        <f t="shared" si="18"/>
        <v>0</v>
      </c>
    </row>
    <row r="35" spans="1:108" x14ac:dyDescent="0.2">
      <c r="A35">
        <v>420</v>
      </c>
      <c r="B35" s="1">
        <f t="shared" si="24"/>
        <v>2.0643503322898512E-5</v>
      </c>
      <c r="C35" s="3">
        <f t="shared" si="2"/>
        <v>1.0226330729598059E-6</v>
      </c>
      <c r="D35" s="5">
        <f t="shared" si="3"/>
        <v>12.390685988836172</v>
      </c>
      <c r="F35" s="1">
        <f t="shared" si="4"/>
        <v>2.0643503322898512E-5</v>
      </c>
      <c r="G35" s="4">
        <f t="shared" si="19"/>
        <v>56.326977764187369</v>
      </c>
      <c r="H35" s="4">
        <f t="shared" si="19"/>
        <v>50.825795970139339</v>
      </c>
      <c r="I35" s="4">
        <f t="shared" si="19"/>
        <v>46.303553266220987</v>
      </c>
      <c r="J35" s="4">
        <f t="shared" si="19"/>
        <v>42.520295341639653</v>
      </c>
      <c r="K35" s="4">
        <f t="shared" si="19"/>
        <v>39.308566735200891</v>
      </c>
      <c r="L35" s="4">
        <f t="shared" si="19"/>
        <v>36.547953113444564</v>
      </c>
      <c r="M35" s="4">
        <f t="shared" si="19"/>
        <v>34.149646886506126</v>
      </c>
      <c r="N35" s="4">
        <f t="shared" si="19"/>
        <v>32.046715509711909</v>
      </c>
      <c r="O35" s="4">
        <f t="shared" si="19"/>
        <v>30.187756870160623</v>
      </c>
      <c r="P35" s="4">
        <f t="shared" si="19"/>
        <v>28.532641823770135</v>
      </c>
      <c r="Q35" s="4">
        <f t="shared" si="19"/>
        <v>0</v>
      </c>
      <c r="R35" s="4">
        <f t="shared" si="19"/>
        <v>0</v>
      </c>
      <c r="S35" s="4">
        <f t="shared" si="19"/>
        <v>0</v>
      </c>
      <c r="T35" s="4">
        <f t="shared" si="19"/>
        <v>0</v>
      </c>
      <c r="U35" s="4">
        <f t="shared" si="19"/>
        <v>0</v>
      </c>
      <c r="V35" s="4">
        <f t="shared" si="19"/>
        <v>0</v>
      </c>
      <c r="W35" s="4">
        <f t="shared" si="16"/>
        <v>0</v>
      </c>
      <c r="X35" s="4">
        <f t="shared" si="16"/>
        <v>0</v>
      </c>
      <c r="Y35" s="4">
        <f t="shared" si="16"/>
        <v>0</v>
      </c>
      <c r="Z35" s="4">
        <f t="shared" si="16"/>
        <v>0</v>
      </c>
      <c r="AA35" s="4">
        <f t="shared" si="16"/>
        <v>0</v>
      </c>
      <c r="AB35" s="4">
        <f t="shared" si="16"/>
        <v>0</v>
      </c>
      <c r="AC35" s="4">
        <f t="shared" si="16"/>
        <v>0</v>
      </c>
      <c r="AD35" s="4">
        <f t="shared" si="16"/>
        <v>0</v>
      </c>
      <c r="AE35" s="4">
        <f t="shared" si="16"/>
        <v>0</v>
      </c>
      <c r="AF35" s="4">
        <f t="shared" si="16"/>
        <v>0</v>
      </c>
      <c r="AG35" s="4">
        <f t="shared" si="16"/>
        <v>0</v>
      </c>
      <c r="AH35" s="4">
        <f t="shared" si="16"/>
        <v>0</v>
      </c>
      <c r="AI35" s="4">
        <f t="shared" si="16"/>
        <v>0</v>
      </c>
      <c r="AJ35" s="4">
        <f t="shared" si="16"/>
        <v>0</v>
      </c>
      <c r="AK35" s="4">
        <f t="shared" si="16"/>
        <v>0</v>
      </c>
      <c r="AL35" s="4">
        <f t="shared" si="20"/>
        <v>0</v>
      </c>
      <c r="AM35" s="4">
        <f t="shared" si="20"/>
        <v>0</v>
      </c>
      <c r="AN35" s="4">
        <f t="shared" si="20"/>
        <v>0</v>
      </c>
      <c r="AO35" s="4">
        <f t="shared" si="20"/>
        <v>0</v>
      </c>
      <c r="AP35" s="4">
        <f t="shared" si="20"/>
        <v>0</v>
      </c>
      <c r="AQ35" s="4">
        <f t="shared" si="20"/>
        <v>0</v>
      </c>
      <c r="AR35" s="4">
        <f t="shared" si="20"/>
        <v>0</v>
      </c>
      <c r="AS35" s="4">
        <f t="shared" si="20"/>
        <v>0</v>
      </c>
      <c r="AT35" s="4">
        <f t="shared" si="20"/>
        <v>0</v>
      </c>
      <c r="AU35" s="4">
        <f t="shared" si="20"/>
        <v>0</v>
      </c>
      <c r="AV35" s="4">
        <f t="shared" si="20"/>
        <v>0</v>
      </c>
      <c r="AW35" s="4">
        <f t="shared" si="20"/>
        <v>0</v>
      </c>
      <c r="AX35" s="4">
        <f t="shared" si="20"/>
        <v>0</v>
      </c>
      <c r="AY35" s="4">
        <f t="shared" si="21"/>
        <v>0</v>
      </c>
      <c r="AZ35" s="4">
        <f t="shared" si="21"/>
        <v>0</v>
      </c>
      <c r="BA35" s="4">
        <f t="shared" si="21"/>
        <v>0</v>
      </c>
      <c r="BB35" s="4">
        <f t="shared" si="21"/>
        <v>0</v>
      </c>
      <c r="BC35" s="4">
        <f t="shared" si="21"/>
        <v>0</v>
      </c>
      <c r="BD35" s="4">
        <f t="shared" si="21"/>
        <v>0</v>
      </c>
      <c r="BF35" s="2">
        <f t="shared" si="9"/>
        <v>420</v>
      </c>
      <c r="BG35" s="1">
        <f t="shared" si="25"/>
        <v>8.1223858115332338E-8</v>
      </c>
      <c r="BH35" s="1">
        <f t="shared" si="22"/>
        <v>0</v>
      </c>
      <c r="BI35" s="1">
        <f t="shared" si="22"/>
        <v>0</v>
      </c>
      <c r="BJ35" s="1">
        <f t="shared" si="22"/>
        <v>0</v>
      </c>
      <c r="BK35" s="1">
        <f t="shared" si="22"/>
        <v>0</v>
      </c>
      <c r="BL35" s="1">
        <f t="shared" si="22"/>
        <v>0</v>
      </c>
      <c r="BM35" s="1">
        <f t="shared" si="22"/>
        <v>0</v>
      </c>
      <c r="BN35" s="1">
        <f t="shared" si="22"/>
        <v>0</v>
      </c>
      <c r="BO35" s="1">
        <f t="shared" si="22"/>
        <v>0</v>
      </c>
      <c r="BP35" s="1">
        <f t="shared" si="22"/>
        <v>0</v>
      </c>
      <c r="BQ35" s="1">
        <f t="shared" si="22"/>
        <v>0</v>
      </c>
      <c r="BR35" s="1">
        <f t="shared" si="22"/>
        <v>0</v>
      </c>
      <c r="BS35" s="1">
        <f t="shared" si="22"/>
        <v>0</v>
      </c>
      <c r="BT35" s="1">
        <f t="shared" si="22"/>
        <v>0</v>
      </c>
      <c r="BU35" s="1">
        <f t="shared" si="22"/>
        <v>0</v>
      </c>
      <c r="BV35" s="1">
        <f t="shared" si="22"/>
        <v>0</v>
      </c>
      <c r="BW35" s="1">
        <f t="shared" si="22"/>
        <v>0</v>
      </c>
      <c r="BX35" s="1">
        <f t="shared" si="17"/>
        <v>0</v>
      </c>
      <c r="BY35" s="1">
        <f t="shared" si="17"/>
        <v>0</v>
      </c>
      <c r="BZ35" s="1">
        <f t="shared" si="17"/>
        <v>0</v>
      </c>
      <c r="CA35" s="1">
        <f t="shared" si="17"/>
        <v>0</v>
      </c>
      <c r="CB35" s="1">
        <f t="shared" si="17"/>
        <v>0</v>
      </c>
      <c r="CC35" s="1">
        <f t="shared" si="17"/>
        <v>0</v>
      </c>
      <c r="CD35" s="1">
        <f t="shared" si="17"/>
        <v>0</v>
      </c>
      <c r="CE35" s="1">
        <f t="shared" si="17"/>
        <v>0</v>
      </c>
      <c r="CF35" s="1">
        <f t="shared" si="17"/>
        <v>0</v>
      </c>
      <c r="CG35" s="1">
        <f t="shared" si="17"/>
        <v>0</v>
      </c>
      <c r="CH35" s="1">
        <f t="shared" si="17"/>
        <v>0</v>
      </c>
      <c r="CI35" s="1">
        <f t="shared" si="17"/>
        <v>0</v>
      </c>
      <c r="CJ35" s="1">
        <f t="shared" si="17"/>
        <v>0</v>
      </c>
      <c r="CK35" s="1">
        <f t="shared" si="17"/>
        <v>0</v>
      </c>
      <c r="CL35" s="1">
        <f t="shared" si="17"/>
        <v>0</v>
      </c>
      <c r="CM35" s="1">
        <f t="shared" si="23"/>
        <v>0</v>
      </c>
      <c r="CN35" s="1">
        <f t="shared" si="23"/>
        <v>0</v>
      </c>
      <c r="CO35" s="1">
        <f t="shared" si="23"/>
        <v>0</v>
      </c>
      <c r="CP35" s="1">
        <f t="shared" si="23"/>
        <v>0</v>
      </c>
      <c r="CQ35" s="1">
        <f t="shared" si="23"/>
        <v>0</v>
      </c>
      <c r="CR35" s="1">
        <f t="shared" si="23"/>
        <v>0</v>
      </c>
      <c r="CS35" s="1">
        <f t="shared" si="23"/>
        <v>0</v>
      </c>
      <c r="CT35" s="1">
        <f t="shared" si="23"/>
        <v>0</v>
      </c>
      <c r="CU35" s="1">
        <f t="shared" si="23"/>
        <v>0</v>
      </c>
      <c r="CV35" s="1">
        <f t="shared" si="23"/>
        <v>0</v>
      </c>
      <c r="CW35" s="1">
        <f t="shared" si="23"/>
        <v>0</v>
      </c>
      <c r="CX35" s="1">
        <f t="shared" si="23"/>
        <v>0</v>
      </c>
      <c r="CY35" s="1">
        <f t="shared" si="23"/>
        <v>0</v>
      </c>
      <c r="CZ35" s="1">
        <f t="shared" si="23"/>
        <v>0</v>
      </c>
      <c r="DA35" s="1">
        <f t="shared" si="23"/>
        <v>0</v>
      </c>
      <c r="DB35" s="1">
        <f t="shared" si="23"/>
        <v>0</v>
      </c>
      <c r="DC35" s="1">
        <f t="shared" si="18"/>
        <v>0</v>
      </c>
      <c r="DD35" s="1">
        <f t="shared" si="18"/>
        <v>0</v>
      </c>
    </row>
    <row r="36" spans="1:108" x14ac:dyDescent="0.2">
      <c r="A36">
        <v>440</v>
      </c>
      <c r="B36" s="1">
        <f t="shared" si="24"/>
        <v>1.9620870249938706E-5</v>
      </c>
      <c r="C36" s="3">
        <f t="shared" si="2"/>
        <v>9.7197411330777596E-7</v>
      </c>
      <c r="D36" s="5">
        <f t="shared" si="3"/>
        <v>12.623387016024743</v>
      </c>
      <c r="F36" s="1">
        <f t="shared" si="4"/>
        <v>1.9620870249938706E-5</v>
      </c>
      <c r="G36" s="4">
        <f t="shared" si="19"/>
        <v>59.966391491275758</v>
      </c>
      <c r="H36" s="4">
        <f t="shared" si="19"/>
        <v>54.123045911392296</v>
      </c>
      <c r="I36" s="4">
        <f t="shared" si="19"/>
        <v>49.317379224801591</v>
      </c>
      <c r="J36" s="4">
        <f t="shared" si="19"/>
        <v>45.295521696240854</v>
      </c>
      <c r="K36" s="4">
        <f t="shared" si="19"/>
        <v>41.880172208087011</v>
      </c>
      <c r="L36" s="4">
        <f t="shared" si="19"/>
        <v>38.94375532132625</v>
      </c>
      <c r="M36" s="4">
        <f t="shared" si="19"/>
        <v>36.39213095479078</v>
      </c>
      <c r="N36" s="4">
        <f t="shared" si="19"/>
        <v>34.15431438839466</v>
      </c>
      <c r="O36" s="4">
        <f t="shared" si="19"/>
        <v>32.175769361629307</v>
      </c>
      <c r="P36" s="4">
        <f t="shared" si="19"/>
        <v>30.413904690988524</v>
      </c>
      <c r="Q36" s="4">
        <f t="shared" si="19"/>
        <v>0</v>
      </c>
      <c r="R36" s="4">
        <f t="shared" si="19"/>
        <v>0</v>
      </c>
      <c r="S36" s="4">
        <f t="shared" si="19"/>
        <v>0</v>
      </c>
      <c r="T36" s="4">
        <f t="shared" si="19"/>
        <v>0</v>
      </c>
      <c r="U36" s="4">
        <f t="shared" si="19"/>
        <v>0</v>
      </c>
      <c r="V36" s="4">
        <f t="shared" si="19"/>
        <v>0</v>
      </c>
      <c r="W36" s="4">
        <f t="shared" si="16"/>
        <v>0</v>
      </c>
      <c r="X36" s="4">
        <f t="shared" si="16"/>
        <v>0</v>
      </c>
      <c r="Y36" s="4">
        <f t="shared" si="16"/>
        <v>0</v>
      </c>
      <c r="Z36" s="4">
        <f t="shared" si="16"/>
        <v>0</v>
      </c>
      <c r="AA36" s="4">
        <f t="shared" si="16"/>
        <v>0</v>
      </c>
      <c r="AB36" s="4">
        <f t="shared" si="16"/>
        <v>0</v>
      </c>
      <c r="AC36" s="4">
        <f t="shared" si="16"/>
        <v>0</v>
      </c>
      <c r="AD36" s="4">
        <f t="shared" si="16"/>
        <v>0</v>
      </c>
      <c r="AE36" s="4">
        <f t="shared" si="16"/>
        <v>0</v>
      </c>
      <c r="AF36" s="4">
        <f t="shared" si="16"/>
        <v>0</v>
      </c>
      <c r="AG36" s="4">
        <f t="shared" si="16"/>
        <v>0</v>
      </c>
      <c r="AH36" s="4">
        <f t="shared" si="16"/>
        <v>0</v>
      </c>
      <c r="AI36" s="4">
        <f t="shared" si="16"/>
        <v>0</v>
      </c>
      <c r="AJ36" s="4">
        <f t="shared" si="16"/>
        <v>0</v>
      </c>
      <c r="AK36" s="4">
        <f t="shared" si="16"/>
        <v>0</v>
      </c>
      <c r="AL36" s="4">
        <f t="shared" si="20"/>
        <v>0</v>
      </c>
      <c r="AM36" s="4">
        <f t="shared" si="20"/>
        <v>0</v>
      </c>
      <c r="AN36" s="4">
        <f t="shared" si="20"/>
        <v>0</v>
      </c>
      <c r="AO36" s="4">
        <f t="shared" si="20"/>
        <v>0</v>
      </c>
      <c r="AP36" s="4">
        <f t="shared" si="20"/>
        <v>0</v>
      </c>
      <c r="AQ36" s="4">
        <f t="shared" si="20"/>
        <v>0</v>
      </c>
      <c r="AR36" s="4">
        <f t="shared" si="20"/>
        <v>0</v>
      </c>
      <c r="AS36" s="4">
        <f t="shared" si="20"/>
        <v>0</v>
      </c>
      <c r="AT36" s="4">
        <f t="shared" si="20"/>
        <v>0</v>
      </c>
      <c r="AU36" s="4">
        <f t="shared" si="20"/>
        <v>0</v>
      </c>
      <c r="AV36" s="4">
        <f t="shared" si="20"/>
        <v>0</v>
      </c>
      <c r="AW36" s="4">
        <f t="shared" si="20"/>
        <v>0</v>
      </c>
      <c r="AX36" s="4">
        <f t="shared" si="20"/>
        <v>0</v>
      </c>
      <c r="AY36" s="4">
        <f t="shared" si="21"/>
        <v>0</v>
      </c>
      <c r="AZ36" s="4">
        <f t="shared" si="21"/>
        <v>0</v>
      </c>
      <c r="BA36" s="4">
        <f t="shared" si="21"/>
        <v>0</v>
      </c>
      <c r="BB36" s="4">
        <f t="shared" si="21"/>
        <v>0</v>
      </c>
      <c r="BC36" s="4">
        <f t="shared" si="21"/>
        <v>0</v>
      </c>
      <c r="BD36" s="4">
        <f t="shared" si="21"/>
        <v>0</v>
      </c>
      <c r="BF36" s="2">
        <f t="shared" si="9"/>
        <v>440</v>
      </c>
      <c r="BG36" s="1">
        <f t="shared" si="25"/>
        <v>0</v>
      </c>
      <c r="BH36" s="1">
        <f t="shared" si="22"/>
        <v>0</v>
      </c>
      <c r="BI36" s="1">
        <f t="shared" si="22"/>
        <v>0</v>
      </c>
      <c r="BJ36" s="1">
        <f t="shared" si="22"/>
        <v>0</v>
      </c>
      <c r="BK36" s="1">
        <f t="shared" si="22"/>
        <v>0</v>
      </c>
      <c r="BL36" s="1">
        <f t="shared" si="22"/>
        <v>0</v>
      </c>
      <c r="BM36" s="1">
        <f t="shared" si="22"/>
        <v>0</v>
      </c>
      <c r="BN36" s="1">
        <f t="shared" si="22"/>
        <v>0</v>
      </c>
      <c r="BO36" s="1">
        <f t="shared" si="22"/>
        <v>0</v>
      </c>
      <c r="BP36" s="1">
        <f t="shared" si="22"/>
        <v>0</v>
      </c>
      <c r="BQ36" s="1">
        <f t="shared" si="22"/>
        <v>0</v>
      </c>
      <c r="BR36" s="1">
        <f t="shared" si="22"/>
        <v>0</v>
      </c>
      <c r="BS36" s="1">
        <f t="shared" si="22"/>
        <v>0</v>
      </c>
      <c r="BT36" s="1">
        <f t="shared" si="22"/>
        <v>0</v>
      </c>
      <c r="BU36" s="1">
        <f t="shared" si="22"/>
        <v>0</v>
      </c>
      <c r="BV36" s="1">
        <f t="shared" si="22"/>
        <v>0</v>
      </c>
      <c r="BW36" s="1">
        <f t="shared" si="22"/>
        <v>0</v>
      </c>
      <c r="BX36" s="1">
        <f t="shared" si="17"/>
        <v>0</v>
      </c>
      <c r="BY36" s="1">
        <f t="shared" si="17"/>
        <v>0</v>
      </c>
      <c r="BZ36" s="1">
        <f t="shared" si="17"/>
        <v>0</v>
      </c>
      <c r="CA36" s="1">
        <f t="shared" si="17"/>
        <v>0</v>
      </c>
      <c r="CB36" s="1">
        <f t="shared" si="17"/>
        <v>0</v>
      </c>
      <c r="CC36" s="1">
        <f t="shared" si="17"/>
        <v>0</v>
      </c>
      <c r="CD36" s="1">
        <f t="shared" si="17"/>
        <v>0</v>
      </c>
      <c r="CE36" s="1">
        <f t="shared" si="17"/>
        <v>0</v>
      </c>
      <c r="CF36" s="1">
        <f t="shared" si="17"/>
        <v>0</v>
      </c>
      <c r="CG36" s="1">
        <f t="shared" si="17"/>
        <v>0</v>
      </c>
      <c r="CH36" s="1">
        <f t="shared" si="17"/>
        <v>0</v>
      </c>
      <c r="CI36" s="1">
        <f t="shared" si="17"/>
        <v>0</v>
      </c>
      <c r="CJ36" s="1">
        <f t="shared" si="17"/>
        <v>0</v>
      </c>
      <c r="CK36" s="1">
        <f t="shared" si="17"/>
        <v>0</v>
      </c>
      <c r="CL36" s="1">
        <f t="shared" si="17"/>
        <v>0</v>
      </c>
      <c r="CM36" s="1">
        <f t="shared" si="23"/>
        <v>0</v>
      </c>
      <c r="CN36" s="1">
        <f t="shared" si="23"/>
        <v>0</v>
      </c>
      <c r="CO36" s="1">
        <f t="shared" si="23"/>
        <v>0</v>
      </c>
      <c r="CP36" s="1">
        <f t="shared" si="23"/>
        <v>0</v>
      </c>
      <c r="CQ36" s="1">
        <f t="shared" si="23"/>
        <v>0</v>
      </c>
      <c r="CR36" s="1">
        <f t="shared" si="23"/>
        <v>0</v>
      </c>
      <c r="CS36" s="1">
        <f t="shared" si="23"/>
        <v>0</v>
      </c>
      <c r="CT36" s="1">
        <f t="shared" si="23"/>
        <v>0</v>
      </c>
      <c r="CU36" s="1">
        <f t="shared" si="23"/>
        <v>0</v>
      </c>
      <c r="CV36" s="1">
        <f t="shared" si="23"/>
        <v>0</v>
      </c>
      <c r="CW36" s="1">
        <f t="shared" si="23"/>
        <v>0</v>
      </c>
      <c r="CX36" s="1">
        <f t="shared" si="23"/>
        <v>0</v>
      </c>
      <c r="CY36" s="1">
        <f t="shared" si="23"/>
        <v>0</v>
      </c>
      <c r="CZ36" s="1">
        <f t="shared" si="23"/>
        <v>0</v>
      </c>
      <c r="DA36" s="1">
        <f t="shared" si="23"/>
        <v>0</v>
      </c>
      <c r="DB36" s="1">
        <f t="shared" si="23"/>
        <v>0</v>
      </c>
      <c r="DC36" s="1">
        <f t="shared" si="18"/>
        <v>0</v>
      </c>
      <c r="DD36" s="1">
        <f t="shared" si="18"/>
        <v>0</v>
      </c>
    </row>
    <row r="37" spans="1:108" x14ac:dyDescent="0.2">
      <c r="A37">
        <v>460</v>
      </c>
      <c r="B37" s="1">
        <f t="shared" si="24"/>
        <v>1.864889613663093E-5</v>
      </c>
      <c r="C37" s="3">
        <f t="shared" si="2"/>
        <v>9.2382468543299818E-7</v>
      </c>
      <c r="D37" s="5">
        <f t="shared" si="3"/>
        <v>12.849824232591859</v>
      </c>
      <c r="F37" s="1">
        <f t="shared" si="4"/>
        <v>1.864889613663093E-5</v>
      </c>
      <c r="G37" s="4">
        <f t="shared" si="19"/>
        <v>63.661069860350068</v>
      </c>
      <c r="H37" s="4">
        <f t="shared" si="19"/>
        <v>57.471358761147563</v>
      </c>
      <c r="I37" s="4">
        <f t="shared" si="19"/>
        <v>52.378629627365768</v>
      </c>
      <c r="J37" s="4">
        <f t="shared" si="19"/>
        <v>48.114998811891645</v>
      </c>
      <c r="K37" s="4">
        <f t="shared" si="19"/>
        <v>44.49324025181614</v>
      </c>
      <c r="L37" s="4">
        <f t="shared" si="19"/>
        <v>41.378553867647334</v>
      </c>
      <c r="M37" s="4">
        <f t="shared" si="19"/>
        <v>38.671416056047264</v>
      </c>
      <c r="N37" s="4">
        <f t="shared" si="19"/>
        <v>36.296748706034386</v>
      </c>
      <c r="O37" s="4">
        <f t="shared" si="19"/>
        <v>34.196847889404545</v>
      </c>
      <c r="P37" s="4">
        <f t="shared" si="19"/>
        <v>32.326632917477369</v>
      </c>
      <c r="Q37" s="4">
        <f t="shared" si="19"/>
        <v>0</v>
      </c>
      <c r="R37" s="4">
        <f t="shared" si="19"/>
        <v>0</v>
      </c>
      <c r="S37" s="4">
        <f t="shared" si="19"/>
        <v>0</v>
      </c>
      <c r="T37" s="4">
        <f t="shared" si="19"/>
        <v>0</v>
      </c>
      <c r="U37" s="4">
        <f t="shared" si="19"/>
        <v>0</v>
      </c>
      <c r="V37" s="4">
        <f t="shared" si="19"/>
        <v>0</v>
      </c>
      <c r="W37" s="4">
        <f t="shared" si="16"/>
        <v>0</v>
      </c>
      <c r="X37" s="4">
        <f t="shared" si="16"/>
        <v>0</v>
      </c>
      <c r="Y37" s="4">
        <f t="shared" si="16"/>
        <v>0</v>
      </c>
      <c r="Z37" s="4">
        <f t="shared" si="16"/>
        <v>0</v>
      </c>
      <c r="AA37" s="4">
        <f t="shared" si="16"/>
        <v>0</v>
      </c>
      <c r="AB37" s="4">
        <f t="shared" si="16"/>
        <v>0</v>
      </c>
      <c r="AC37" s="4">
        <f t="shared" si="16"/>
        <v>0</v>
      </c>
      <c r="AD37" s="4">
        <f t="shared" si="16"/>
        <v>0</v>
      </c>
      <c r="AE37" s="4">
        <f t="shared" si="16"/>
        <v>0</v>
      </c>
      <c r="AF37" s="4">
        <f t="shared" si="16"/>
        <v>0</v>
      </c>
      <c r="AG37" s="4">
        <f t="shared" si="16"/>
        <v>0</v>
      </c>
      <c r="AH37" s="4">
        <f t="shared" si="16"/>
        <v>0</v>
      </c>
      <c r="AI37" s="4">
        <f t="shared" si="16"/>
        <v>0</v>
      </c>
      <c r="AJ37" s="4">
        <f t="shared" si="16"/>
        <v>0</v>
      </c>
      <c r="AK37" s="4">
        <f t="shared" si="16"/>
        <v>0</v>
      </c>
      <c r="AL37" s="4">
        <f t="shared" si="20"/>
        <v>0</v>
      </c>
      <c r="AM37" s="4">
        <f t="shared" si="20"/>
        <v>0</v>
      </c>
      <c r="AN37" s="4">
        <f t="shared" si="20"/>
        <v>0</v>
      </c>
      <c r="AO37" s="4">
        <f t="shared" si="20"/>
        <v>0</v>
      </c>
      <c r="AP37" s="4">
        <f t="shared" si="20"/>
        <v>0</v>
      </c>
      <c r="AQ37" s="4">
        <f t="shared" si="20"/>
        <v>0</v>
      </c>
      <c r="AR37" s="4">
        <f t="shared" si="20"/>
        <v>0</v>
      </c>
      <c r="AS37" s="4">
        <f t="shared" si="20"/>
        <v>0</v>
      </c>
      <c r="AT37" s="4">
        <f t="shared" si="20"/>
        <v>0</v>
      </c>
      <c r="AU37" s="4">
        <f t="shared" si="20"/>
        <v>0</v>
      </c>
      <c r="AV37" s="4">
        <f t="shared" si="20"/>
        <v>0</v>
      </c>
      <c r="AW37" s="4">
        <f t="shared" si="20"/>
        <v>0</v>
      </c>
      <c r="AX37" s="4">
        <f t="shared" si="20"/>
        <v>0</v>
      </c>
      <c r="AY37" s="4">
        <f t="shared" si="21"/>
        <v>0</v>
      </c>
      <c r="AZ37" s="4">
        <f t="shared" si="21"/>
        <v>0</v>
      </c>
      <c r="BA37" s="4">
        <f t="shared" si="21"/>
        <v>0</v>
      </c>
      <c r="BB37" s="4">
        <f t="shared" si="21"/>
        <v>0</v>
      </c>
      <c r="BC37" s="4">
        <f t="shared" si="21"/>
        <v>0</v>
      </c>
      <c r="BD37" s="4">
        <f t="shared" si="21"/>
        <v>0</v>
      </c>
      <c r="BF37" s="2">
        <f t="shared" si="9"/>
        <v>460</v>
      </c>
      <c r="BG37" s="1">
        <f t="shared" si="25"/>
        <v>0</v>
      </c>
      <c r="BH37" s="1">
        <f t="shared" si="22"/>
        <v>0</v>
      </c>
      <c r="BI37" s="1">
        <f t="shared" si="22"/>
        <v>0</v>
      </c>
      <c r="BJ37" s="1">
        <f t="shared" si="22"/>
        <v>0</v>
      </c>
      <c r="BK37" s="1">
        <f t="shared" si="22"/>
        <v>0</v>
      </c>
      <c r="BL37" s="1">
        <f t="shared" si="22"/>
        <v>0</v>
      </c>
      <c r="BM37" s="1">
        <f t="shared" si="22"/>
        <v>0</v>
      </c>
      <c r="BN37" s="1">
        <f t="shared" si="22"/>
        <v>0</v>
      </c>
      <c r="BO37" s="1">
        <f t="shared" si="22"/>
        <v>0</v>
      </c>
      <c r="BP37" s="1">
        <f t="shared" si="22"/>
        <v>0</v>
      </c>
      <c r="BQ37" s="1">
        <f t="shared" si="22"/>
        <v>0</v>
      </c>
      <c r="BR37" s="1">
        <f t="shared" si="22"/>
        <v>0</v>
      </c>
      <c r="BS37" s="1">
        <f t="shared" si="22"/>
        <v>0</v>
      </c>
      <c r="BT37" s="1">
        <f t="shared" si="22"/>
        <v>0</v>
      </c>
      <c r="BU37" s="1">
        <f t="shared" si="22"/>
        <v>0</v>
      </c>
      <c r="BV37" s="1">
        <f t="shared" si="22"/>
        <v>0</v>
      </c>
      <c r="BW37" s="1">
        <f t="shared" si="22"/>
        <v>0</v>
      </c>
      <c r="BX37" s="1">
        <f t="shared" si="17"/>
        <v>0</v>
      </c>
      <c r="BY37" s="1">
        <f t="shared" si="17"/>
        <v>0</v>
      </c>
      <c r="BZ37" s="1">
        <f t="shared" si="17"/>
        <v>0</v>
      </c>
      <c r="CA37" s="1">
        <f t="shared" si="17"/>
        <v>0</v>
      </c>
      <c r="CB37" s="1">
        <f t="shared" si="17"/>
        <v>0</v>
      </c>
      <c r="CC37" s="1">
        <f t="shared" si="17"/>
        <v>0</v>
      </c>
      <c r="CD37" s="1">
        <f t="shared" si="17"/>
        <v>0</v>
      </c>
      <c r="CE37" s="1">
        <f t="shared" si="17"/>
        <v>0</v>
      </c>
      <c r="CF37" s="1">
        <f t="shared" si="17"/>
        <v>0</v>
      </c>
      <c r="CG37" s="1">
        <f t="shared" si="17"/>
        <v>0</v>
      </c>
      <c r="CH37" s="1">
        <f t="shared" si="17"/>
        <v>0</v>
      </c>
      <c r="CI37" s="1">
        <f t="shared" si="17"/>
        <v>0</v>
      </c>
      <c r="CJ37" s="1">
        <f t="shared" si="17"/>
        <v>0</v>
      </c>
      <c r="CK37" s="1">
        <f t="shared" si="17"/>
        <v>0</v>
      </c>
      <c r="CL37" s="1">
        <f t="shared" si="17"/>
        <v>0</v>
      </c>
      <c r="CM37" s="1">
        <f t="shared" si="23"/>
        <v>0</v>
      </c>
      <c r="CN37" s="1">
        <f t="shared" si="23"/>
        <v>0</v>
      </c>
      <c r="CO37" s="1">
        <f t="shared" si="23"/>
        <v>0</v>
      </c>
      <c r="CP37" s="1">
        <f t="shared" si="23"/>
        <v>0</v>
      </c>
      <c r="CQ37" s="1">
        <f t="shared" si="23"/>
        <v>0</v>
      </c>
      <c r="CR37" s="1">
        <f t="shared" si="23"/>
        <v>0</v>
      </c>
      <c r="CS37" s="1">
        <f t="shared" si="23"/>
        <v>0</v>
      </c>
      <c r="CT37" s="1">
        <f t="shared" si="23"/>
        <v>0</v>
      </c>
      <c r="CU37" s="1">
        <f t="shared" si="23"/>
        <v>0</v>
      </c>
      <c r="CV37" s="1">
        <f t="shared" si="23"/>
        <v>0</v>
      </c>
      <c r="CW37" s="1">
        <f t="shared" si="23"/>
        <v>0</v>
      </c>
      <c r="CX37" s="1">
        <f t="shared" si="23"/>
        <v>0</v>
      </c>
      <c r="CY37" s="1">
        <f t="shared" si="23"/>
        <v>0</v>
      </c>
      <c r="CZ37" s="1">
        <f t="shared" si="23"/>
        <v>0</v>
      </c>
      <c r="DA37" s="1">
        <f t="shared" si="23"/>
        <v>0</v>
      </c>
      <c r="DB37" s="1">
        <f t="shared" si="23"/>
        <v>0</v>
      </c>
      <c r="DC37" s="1">
        <f t="shared" si="18"/>
        <v>0</v>
      </c>
      <c r="DD37" s="1">
        <f t="shared" si="18"/>
        <v>0</v>
      </c>
    </row>
    <row r="38" spans="1:108" x14ac:dyDescent="0.2">
      <c r="A38">
        <v>480</v>
      </c>
      <c r="B38" s="1">
        <f t="shared" si="24"/>
        <v>1.7725071451197932E-5</v>
      </c>
      <c r="C38" s="3">
        <f t="shared" si="2"/>
        <v>8.7806047273305692E-7</v>
      </c>
      <c r="D38" s="5">
        <f t="shared" si="3"/>
        <v>13.070428031171055</v>
      </c>
      <c r="F38" s="1">
        <f t="shared" si="4"/>
        <v>1.7725071451197932E-5</v>
      </c>
      <c r="G38" s="4">
        <f t="shared" si="19"/>
        <v>67.409225332679142</v>
      </c>
      <c r="H38" s="4">
        <f t="shared" si="19"/>
        <v>60.869112264332031</v>
      </c>
      <c r="I38" s="4">
        <f t="shared" si="19"/>
        <v>55.485820335203428</v>
      </c>
      <c r="J38" s="4">
        <f t="shared" si="19"/>
        <v>50.977359511361158</v>
      </c>
      <c r="K38" s="4">
        <f t="shared" si="19"/>
        <v>47.146503906130825</v>
      </c>
      <c r="L38" s="4">
        <f t="shared" si="19"/>
        <v>43.851168555917226</v>
      </c>
      <c r="M38" s="4">
        <f t="shared" si="19"/>
        <v>40.986397801700257</v>
      </c>
      <c r="N38" s="4">
        <f t="shared" si="19"/>
        <v>38.472980850720909</v>
      </c>
      <c r="O38" s="4">
        <f t="shared" si="19"/>
        <v>36.250014091559045</v>
      </c>
      <c r="P38" s="4">
        <f t="shared" si="19"/>
        <v>34.269901056296639</v>
      </c>
      <c r="Q38" s="4">
        <f t="shared" si="19"/>
        <v>0</v>
      </c>
      <c r="R38" s="4">
        <f t="shared" si="19"/>
        <v>0</v>
      </c>
      <c r="S38" s="4">
        <f t="shared" si="19"/>
        <v>0</v>
      </c>
      <c r="T38" s="4">
        <f t="shared" si="19"/>
        <v>0</v>
      </c>
      <c r="U38" s="4">
        <f t="shared" si="19"/>
        <v>0</v>
      </c>
      <c r="V38" s="4">
        <f t="shared" si="19"/>
        <v>0</v>
      </c>
      <c r="W38" s="4">
        <f t="shared" si="16"/>
        <v>0</v>
      </c>
      <c r="X38" s="4">
        <f t="shared" si="16"/>
        <v>0</v>
      </c>
      <c r="Y38" s="4">
        <f t="shared" si="16"/>
        <v>0</v>
      </c>
      <c r="Z38" s="4">
        <f t="shared" si="16"/>
        <v>0</v>
      </c>
      <c r="AA38" s="4">
        <f t="shared" si="16"/>
        <v>0</v>
      </c>
      <c r="AB38" s="4">
        <f t="shared" si="16"/>
        <v>0</v>
      </c>
      <c r="AC38" s="4">
        <f t="shared" si="16"/>
        <v>0</v>
      </c>
      <c r="AD38" s="4">
        <f t="shared" si="16"/>
        <v>0</v>
      </c>
      <c r="AE38" s="4">
        <f t="shared" si="16"/>
        <v>0</v>
      </c>
      <c r="AF38" s="4">
        <f t="shared" si="16"/>
        <v>0</v>
      </c>
      <c r="AG38" s="4">
        <f t="shared" si="16"/>
        <v>0</v>
      </c>
      <c r="AH38" s="4">
        <f t="shared" si="16"/>
        <v>0</v>
      </c>
      <c r="AI38" s="4">
        <f t="shared" si="16"/>
        <v>0</v>
      </c>
      <c r="AJ38" s="4">
        <f t="shared" si="16"/>
        <v>0</v>
      </c>
      <c r="AK38" s="4">
        <f t="shared" si="16"/>
        <v>0</v>
      </c>
      <c r="AL38" s="4">
        <f t="shared" si="20"/>
        <v>0</v>
      </c>
      <c r="AM38" s="4">
        <f t="shared" si="20"/>
        <v>0</v>
      </c>
      <c r="AN38" s="4">
        <f t="shared" si="20"/>
        <v>0</v>
      </c>
      <c r="AO38" s="4">
        <f t="shared" si="20"/>
        <v>0</v>
      </c>
      <c r="AP38" s="4">
        <f t="shared" si="20"/>
        <v>0</v>
      </c>
      <c r="AQ38" s="4">
        <f t="shared" si="20"/>
        <v>0</v>
      </c>
      <c r="AR38" s="4">
        <f t="shared" si="20"/>
        <v>0</v>
      </c>
      <c r="AS38" s="4">
        <f t="shared" si="20"/>
        <v>0</v>
      </c>
      <c r="AT38" s="4">
        <f t="shared" si="20"/>
        <v>0</v>
      </c>
      <c r="AU38" s="4">
        <f t="shared" si="20"/>
        <v>0</v>
      </c>
      <c r="AV38" s="4">
        <f t="shared" si="20"/>
        <v>0</v>
      </c>
      <c r="AW38" s="4">
        <f t="shared" si="20"/>
        <v>0</v>
      </c>
      <c r="AX38" s="4">
        <f t="shared" si="20"/>
        <v>0</v>
      </c>
      <c r="AY38" s="4">
        <f t="shared" si="21"/>
        <v>0</v>
      </c>
      <c r="AZ38" s="4">
        <f t="shared" si="21"/>
        <v>0</v>
      </c>
      <c r="BA38" s="4">
        <f t="shared" si="21"/>
        <v>0</v>
      </c>
      <c r="BB38" s="4">
        <f t="shared" si="21"/>
        <v>0</v>
      </c>
      <c r="BC38" s="4">
        <f t="shared" si="21"/>
        <v>0</v>
      </c>
      <c r="BD38" s="4">
        <f t="shared" si="21"/>
        <v>0</v>
      </c>
      <c r="BF38" s="2">
        <f t="shared" si="9"/>
        <v>480</v>
      </c>
      <c r="BG38" s="1">
        <f t="shared" si="25"/>
        <v>0</v>
      </c>
      <c r="BH38" s="1">
        <f t="shared" si="22"/>
        <v>0</v>
      </c>
      <c r="BI38" s="1">
        <f t="shared" si="22"/>
        <v>0</v>
      </c>
      <c r="BJ38" s="1">
        <f t="shared" si="22"/>
        <v>0</v>
      </c>
      <c r="BK38" s="1">
        <f t="shared" si="22"/>
        <v>0</v>
      </c>
      <c r="BL38" s="1">
        <f t="shared" si="22"/>
        <v>0</v>
      </c>
      <c r="BM38" s="1">
        <f t="shared" si="22"/>
        <v>0</v>
      </c>
      <c r="BN38" s="1">
        <f t="shared" si="22"/>
        <v>0</v>
      </c>
      <c r="BO38" s="1">
        <f t="shared" si="22"/>
        <v>0</v>
      </c>
      <c r="BP38" s="1">
        <f t="shared" si="22"/>
        <v>0</v>
      </c>
      <c r="BQ38" s="1">
        <f t="shared" si="22"/>
        <v>0</v>
      </c>
      <c r="BR38" s="1">
        <f t="shared" si="22"/>
        <v>0</v>
      </c>
      <c r="BS38" s="1">
        <f t="shared" si="22"/>
        <v>0</v>
      </c>
      <c r="BT38" s="1">
        <f t="shared" si="22"/>
        <v>0</v>
      </c>
      <c r="BU38" s="1">
        <f t="shared" si="22"/>
        <v>0</v>
      </c>
      <c r="BV38" s="1">
        <f t="shared" si="22"/>
        <v>0</v>
      </c>
      <c r="BW38" s="1">
        <f t="shared" si="22"/>
        <v>0</v>
      </c>
      <c r="BX38" s="1">
        <f t="shared" si="17"/>
        <v>0</v>
      </c>
      <c r="BY38" s="1">
        <f t="shared" si="17"/>
        <v>0</v>
      </c>
      <c r="BZ38" s="1">
        <f t="shared" si="17"/>
        <v>0</v>
      </c>
      <c r="CA38" s="1">
        <f t="shared" si="17"/>
        <v>0</v>
      </c>
      <c r="CB38" s="1">
        <f t="shared" si="17"/>
        <v>0</v>
      </c>
      <c r="CC38" s="1">
        <f t="shared" si="17"/>
        <v>0</v>
      </c>
      <c r="CD38" s="1">
        <f t="shared" si="17"/>
        <v>0</v>
      </c>
      <c r="CE38" s="1">
        <f t="shared" si="17"/>
        <v>0</v>
      </c>
      <c r="CF38" s="1">
        <f t="shared" si="17"/>
        <v>0</v>
      </c>
      <c r="CG38" s="1">
        <f t="shared" si="17"/>
        <v>0</v>
      </c>
      <c r="CH38" s="1">
        <f t="shared" si="17"/>
        <v>0</v>
      </c>
      <c r="CI38" s="1">
        <f t="shared" si="17"/>
        <v>0</v>
      </c>
      <c r="CJ38" s="1">
        <f t="shared" si="17"/>
        <v>0</v>
      </c>
      <c r="CK38" s="1">
        <f t="shared" si="17"/>
        <v>0</v>
      </c>
      <c r="CL38" s="1">
        <f t="shared" si="17"/>
        <v>0</v>
      </c>
      <c r="CM38" s="1">
        <f t="shared" si="23"/>
        <v>0</v>
      </c>
      <c r="CN38" s="1">
        <f t="shared" si="23"/>
        <v>0</v>
      </c>
      <c r="CO38" s="1">
        <f t="shared" si="23"/>
        <v>0</v>
      </c>
      <c r="CP38" s="1">
        <f t="shared" si="23"/>
        <v>0</v>
      </c>
      <c r="CQ38" s="1">
        <f t="shared" si="23"/>
        <v>0</v>
      </c>
      <c r="CR38" s="1">
        <f t="shared" si="23"/>
        <v>0</v>
      </c>
      <c r="CS38" s="1">
        <f t="shared" si="23"/>
        <v>0</v>
      </c>
      <c r="CT38" s="1">
        <f t="shared" si="23"/>
        <v>0</v>
      </c>
      <c r="CU38" s="1">
        <f t="shared" si="23"/>
        <v>0</v>
      </c>
      <c r="CV38" s="1">
        <f t="shared" si="23"/>
        <v>0</v>
      </c>
      <c r="CW38" s="1">
        <f t="shared" si="23"/>
        <v>0</v>
      </c>
      <c r="CX38" s="1">
        <f t="shared" si="23"/>
        <v>0</v>
      </c>
      <c r="CY38" s="1">
        <f t="shared" si="23"/>
        <v>0</v>
      </c>
      <c r="CZ38" s="1">
        <f t="shared" si="23"/>
        <v>0</v>
      </c>
      <c r="DA38" s="1">
        <f t="shared" si="23"/>
        <v>0</v>
      </c>
      <c r="DB38" s="1">
        <f t="shared" si="23"/>
        <v>0</v>
      </c>
      <c r="DC38" s="1">
        <f t="shared" si="18"/>
        <v>0</v>
      </c>
      <c r="DD38" s="1">
        <f t="shared" si="18"/>
        <v>0</v>
      </c>
    </row>
    <row r="39" spans="1:108" x14ac:dyDescent="0.2">
      <c r="A39">
        <v>500</v>
      </c>
      <c r="B39" s="1">
        <f t="shared" si="24"/>
        <v>1.6847010978464875E-5</v>
      </c>
      <c r="C39" s="3">
        <f t="shared" si="2"/>
        <v>2.0095353118128034E-6</v>
      </c>
      <c r="D39" s="5">
        <f t="shared" si="3"/>
        <v>13.285582718780518</v>
      </c>
      <c r="F39" s="1">
        <f t="shared" si="4"/>
        <v>1.6847010978464875E-5</v>
      </c>
      <c r="G39" s="4">
        <f t="shared" si="19"/>
        <v>71.209196167168415</v>
      </c>
      <c r="H39" s="4">
        <f t="shared" si="19"/>
        <v>64.314797714573913</v>
      </c>
      <c r="I39" s="4">
        <f t="shared" si="19"/>
        <v>58.637570641979096</v>
      </c>
      <c r="J39" s="4">
        <f t="shared" si="19"/>
        <v>53.881331562853859</v>
      </c>
      <c r="K39" s="4">
        <f t="shared" si="19"/>
        <v>49.838783939639562</v>
      </c>
      <c r="L39" s="4">
        <f t="shared" si="19"/>
        <v>46.360500710163805</v>
      </c>
      <c r="M39" s="4">
        <f t="shared" si="19"/>
        <v>43.336047928115974</v>
      </c>
      <c r="N39" s="4">
        <f t="shared" si="19"/>
        <v>40.6820446042125</v>
      </c>
      <c r="O39" s="4">
        <f t="shared" si="19"/>
        <v>38.334356818193157</v>
      </c>
      <c r="P39" s="4">
        <f t="shared" si="19"/>
        <v>36.242847150626432</v>
      </c>
      <c r="Q39" s="4">
        <f t="shared" si="19"/>
        <v>0</v>
      </c>
      <c r="R39" s="4">
        <f t="shared" si="19"/>
        <v>0</v>
      </c>
      <c r="S39" s="4">
        <f t="shared" si="19"/>
        <v>0</v>
      </c>
      <c r="T39" s="4">
        <f t="shared" si="19"/>
        <v>0</v>
      </c>
      <c r="U39" s="4">
        <f t="shared" si="19"/>
        <v>0</v>
      </c>
      <c r="V39" s="4">
        <f t="shared" si="19"/>
        <v>0</v>
      </c>
      <c r="W39" s="4">
        <f t="shared" si="16"/>
        <v>0</v>
      </c>
      <c r="X39" s="4">
        <f t="shared" si="16"/>
        <v>0</v>
      </c>
      <c r="Y39" s="4">
        <f t="shared" si="16"/>
        <v>0</v>
      </c>
      <c r="Z39" s="4">
        <f t="shared" si="16"/>
        <v>0</v>
      </c>
      <c r="AA39" s="4">
        <f t="shared" si="16"/>
        <v>0</v>
      </c>
      <c r="AB39" s="4">
        <f t="shared" si="16"/>
        <v>0</v>
      </c>
      <c r="AC39" s="4">
        <f t="shared" si="16"/>
        <v>0</v>
      </c>
      <c r="AD39" s="4">
        <f t="shared" si="16"/>
        <v>0</v>
      </c>
      <c r="AE39" s="4">
        <f t="shared" si="16"/>
        <v>0</v>
      </c>
      <c r="AF39" s="4">
        <f t="shared" si="16"/>
        <v>0</v>
      </c>
      <c r="AG39" s="4">
        <f t="shared" si="16"/>
        <v>0</v>
      </c>
      <c r="AH39" s="4">
        <f t="shared" si="16"/>
        <v>0</v>
      </c>
      <c r="AI39" s="4">
        <f t="shared" si="16"/>
        <v>0</v>
      </c>
      <c r="AJ39" s="4">
        <f t="shared" si="16"/>
        <v>0</v>
      </c>
      <c r="AK39" s="4">
        <f t="shared" si="16"/>
        <v>0</v>
      </c>
      <c r="AL39" s="4">
        <f t="shared" si="20"/>
        <v>0</v>
      </c>
      <c r="AM39" s="4">
        <f t="shared" si="20"/>
        <v>0</v>
      </c>
      <c r="AN39" s="4">
        <f t="shared" si="20"/>
        <v>0</v>
      </c>
      <c r="AO39" s="4">
        <f t="shared" si="20"/>
        <v>0</v>
      </c>
      <c r="AP39" s="4">
        <f t="shared" si="20"/>
        <v>0</v>
      </c>
      <c r="AQ39" s="4">
        <f t="shared" si="20"/>
        <v>0</v>
      </c>
      <c r="AR39" s="4">
        <f t="shared" si="20"/>
        <v>0</v>
      </c>
      <c r="AS39" s="4">
        <f t="shared" si="20"/>
        <v>0</v>
      </c>
      <c r="AT39" s="4">
        <f t="shared" si="20"/>
        <v>0</v>
      </c>
      <c r="AU39" s="4">
        <f t="shared" si="20"/>
        <v>0</v>
      </c>
      <c r="AV39" s="4">
        <f t="shared" si="20"/>
        <v>0</v>
      </c>
      <c r="AW39" s="4">
        <f t="shared" si="20"/>
        <v>0</v>
      </c>
      <c r="AX39" s="4">
        <f t="shared" si="20"/>
        <v>0</v>
      </c>
      <c r="AY39" s="4">
        <f t="shared" si="21"/>
        <v>0</v>
      </c>
      <c r="AZ39" s="4">
        <f t="shared" si="21"/>
        <v>0</v>
      </c>
      <c r="BA39" s="4">
        <f t="shared" si="21"/>
        <v>0</v>
      </c>
      <c r="BB39" s="4">
        <f t="shared" si="21"/>
        <v>0</v>
      </c>
      <c r="BC39" s="4">
        <f t="shared" si="21"/>
        <v>0</v>
      </c>
      <c r="BD39" s="4">
        <f t="shared" si="21"/>
        <v>0</v>
      </c>
      <c r="BF39" s="2">
        <f t="shared" si="9"/>
        <v>500</v>
      </c>
      <c r="BG39" s="1">
        <f t="shared" si="25"/>
        <v>0</v>
      </c>
      <c r="BH39" s="1">
        <f t="shared" si="22"/>
        <v>0</v>
      </c>
      <c r="BI39" s="1">
        <f t="shared" si="22"/>
        <v>0</v>
      </c>
      <c r="BJ39" s="1">
        <f t="shared" si="22"/>
        <v>0</v>
      </c>
      <c r="BK39" s="1">
        <f t="shared" si="22"/>
        <v>0</v>
      </c>
      <c r="BL39" s="1">
        <f t="shared" si="22"/>
        <v>0</v>
      </c>
      <c r="BM39" s="1">
        <f t="shared" si="22"/>
        <v>0</v>
      </c>
      <c r="BN39" s="1">
        <f t="shared" si="22"/>
        <v>0</v>
      </c>
      <c r="BO39" s="1">
        <f t="shared" si="22"/>
        <v>0</v>
      </c>
      <c r="BP39" s="1">
        <f t="shared" si="22"/>
        <v>0</v>
      </c>
      <c r="BQ39" s="1">
        <f t="shared" si="22"/>
        <v>0</v>
      </c>
      <c r="BR39" s="1">
        <f t="shared" si="22"/>
        <v>0</v>
      </c>
      <c r="BS39" s="1">
        <f t="shared" si="22"/>
        <v>0</v>
      </c>
      <c r="BT39" s="1">
        <f t="shared" si="22"/>
        <v>0</v>
      </c>
      <c r="BU39" s="1">
        <f t="shared" si="22"/>
        <v>0</v>
      </c>
      <c r="BV39" s="1">
        <f t="shared" si="22"/>
        <v>0</v>
      </c>
      <c r="BW39" s="1">
        <f t="shared" si="22"/>
        <v>0</v>
      </c>
      <c r="BX39" s="1">
        <f t="shared" si="17"/>
        <v>0</v>
      </c>
      <c r="BY39" s="1">
        <f t="shared" si="17"/>
        <v>0</v>
      </c>
      <c r="BZ39" s="1">
        <f t="shared" si="17"/>
        <v>0</v>
      </c>
      <c r="CA39" s="1">
        <f t="shared" si="17"/>
        <v>0</v>
      </c>
      <c r="CB39" s="1">
        <f t="shared" si="17"/>
        <v>0</v>
      </c>
      <c r="CC39" s="1">
        <f t="shared" si="17"/>
        <v>0</v>
      </c>
      <c r="CD39" s="1">
        <f t="shared" si="17"/>
        <v>0</v>
      </c>
      <c r="CE39" s="1">
        <f t="shared" si="17"/>
        <v>0</v>
      </c>
      <c r="CF39" s="1">
        <f t="shared" si="17"/>
        <v>0</v>
      </c>
      <c r="CG39" s="1">
        <f t="shared" si="17"/>
        <v>0</v>
      </c>
      <c r="CH39" s="1">
        <f t="shared" si="17"/>
        <v>0</v>
      </c>
      <c r="CI39" s="1">
        <f t="shared" si="17"/>
        <v>0</v>
      </c>
      <c r="CJ39" s="1">
        <f t="shared" si="17"/>
        <v>0</v>
      </c>
      <c r="CK39" s="1">
        <f t="shared" si="17"/>
        <v>0</v>
      </c>
      <c r="CL39" s="1">
        <f t="shared" si="17"/>
        <v>0</v>
      </c>
      <c r="CM39" s="1">
        <f t="shared" si="23"/>
        <v>0</v>
      </c>
      <c r="CN39" s="1">
        <f t="shared" si="23"/>
        <v>0</v>
      </c>
      <c r="CO39" s="1">
        <f t="shared" si="23"/>
        <v>0</v>
      </c>
      <c r="CP39" s="1">
        <f t="shared" si="23"/>
        <v>0</v>
      </c>
      <c r="CQ39" s="1">
        <f t="shared" si="23"/>
        <v>0</v>
      </c>
      <c r="CR39" s="1">
        <f t="shared" si="23"/>
        <v>0</v>
      </c>
      <c r="CS39" s="1">
        <f t="shared" si="23"/>
        <v>0</v>
      </c>
      <c r="CT39" s="1">
        <f t="shared" si="23"/>
        <v>0</v>
      </c>
      <c r="CU39" s="1">
        <f t="shared" si="23"/>
        <v>0</v>
      </c>
      <c r="CV39" s="1">
        <f t="shared" si="23"/>
        <v>0</v>
      </c>
      <c r="CW39" s="1">
        <f t="shared" si="23"/>
        <v>0</v>
      </c>
      <c r="CX39" s="1">
        <f t="shared" si="23"/>
        <v>0</v>
      </c>
      <c r="CY39" s="1">
        <f t="shared" si="23"/>
        <v>0</v>
      </c>
      <c r="CZ39" s="1">
        <f t="shared" si="23"/>
        <v>0</v>
      </c>
      <c r="DA39" s="1">
        <f t="shared" si="23"/>
        <v>0</v>
      </c>
      <c r="DB39" s="1">
        <f t="shared" si="23"/>
        <v>0</v>
      </c>
      <c r="DC39" s="1">
        <f t="shared" si="18"/>
        <v>0</v>
      </c>
      <c r="DD39" s="1">
        <f t="shared" si="18"/>
        <v>0</v>
      </c>
    </row>
    <row r="40" spans="1:108" x14ac:dyDescent="0.2">
      <c r="A40">
        <v>550</v>
      </c>
      <c r="B40" s="1">
        <f t="shared" si="24"/>
        <v>1.4837475666652072E-5</v>
      </c>
      <c r="C40" s="3">
        <f t="shared" si="2"/>
        <v>1.7698350958763067E-6</v>
      </c>
      <c r="D40" s="5">
        <f t="shared" si="3"/>
        <v>13.801809416088966</v>
      </c>
      <c r="F40" s="1">
        <f t="shared" si="4"/>
        <v>1.4837475666652072E-5</v>
      </c>
      <c r="G40" s="4">
        <f t="shared" si="19"/>
        <v>80.925892859662866</v>
      </c>
      <c r="H40" s="4">
        <f t="shared" si="19"/>
        <v>73.129699969106227</v>
      </c>
      <c r="I40" s="4">
        <f t="shared" si="19"/>
        <v>66.703642216217162</v>
      </c>
      <c r="J40" s="4">
        <f t="shared" si="19"/>
        <v>61.315704630262253</v>
      </c>
      <c r="K40" s="4">
        <f t="shared" si="19"/>
        <v>56.733127989644018</v>
      </c>
      <c r="L40" s="4">
        <f t="shared" si="19"/>
        <v>52.787897521403714</v>
      </c>
      <c r="M40" s="4">
        <f t="shared" si="19"/>
        <v>49.355694888559938</v>
      </c>
      <c r="N40" s="4">
        <f t="shared" si="19"/>
        <v>46.342559987028615</v>
      </c>
      <c r="O40" s="4">
        <f t="shared" si="19"/>
        <v>43.676157367704754</v>
      </c>
      <c r="P40" s="4">
        <f t="shared" si="19"/>
        <v>41.299893635238931</v>
      </c>
      <c r="Q40" s="4">
        <f t="shared" si="19"/>
        <v>0</v>
      </c>
      <c r="R40" s="4">
        <f t="shared" si="19"/>
        <v>0</v>
      </c>
      <c r="S40" s="4">
        <f t="shared" si="19"/>
        <v>0</v>
      </c>
      <c r="T40" s="4">
        <f t="shared" si="19"/>
        <v>0</v>
      </c>
      <c r="U40" s="4">
        <f t="shared" si="19"/>
        <v>0</v>
      </c>
      <c r="V40" s="4">
        <f t="shared" si="19"/>
        <v>0</v>
      </c>
      <c r="W40" s="4">
        <f t="shared" si="16"/>
        <v>0</v>
      </c>
      <c r="X40" s="4">
        <f t="shared" si="16"/>
        <v>0</v>
      </c>
      <c r="Y40" s="4">
        <f t="shared" si="16"/>
        <v>0</v>
      </c>
      <c r="Z40" s="4">
        <f t="shared" si="16"/>
        <v>0</v>
      </c>
      <c r="AA40" s="4">
        <f t="shared" si="16"/>
        <v>0</v>
      </c>
      <c r="AB40" s="4">
        <f t="shared" si="16"/>
        <v>0</v>
      </c>
      <c r="AC40" s="4">
        <f t="shared" si="16"/>
        <v>0</v>
      </c>
      <c r="AD40" s="4">
        <f t="shared" si="16"/>
        <v>0</v>
      </c>
      <c r="AE40" s="4">
        <f t="shared" si="16"/>
        <v>0</v>
      </c>
      <c r="AF40" s="4">
        <f t="shared" si="16"/>
        <v>0</v>
      </c>
      <c r="AG40" s="4">
        <f t="shared" si="16"/>
        <v>0</v>
      </c>
      <c r="AH40" s="4">
        <f t="shared" si="16"/>
        <v>0</v>
      </c>
      <c r="AI40" s="4">
        <f t="shared" si="16"/>
        <v>0</v>
      </c>
      <c r="AJ40" s="4">
        <f t="shared" si="16"/>
        <v>0</v>
      </c>
      <c r="AK40" s="4">
        <f t="shared" si="16"/>
        <v>0</v>
      </c>
      <c r="AL40" s="4">
        <f t="shared" si="20"/>
        <v>0</v>
      </c>
      <c r="AM40" s="4">
        <f t="shared" si="20"/>
        <v>0</v>
      </c>
      <c r="AN40" s="4">
        <f t="shared" si="20"/>
        <v>0</v>
      </c>
      <c r="AO40" s="4">
        <f t="shared" si="20"/>
        <v>0</v>
      </c>
      <c r="AP40" s="4">
        <f t="shared" si="20"/>
        <v>0</v>
      </c>
      <c r="AQ40" s="4">
        <f t="shared" si="20"/>
        <v>0</v>
      </c>
      <c r="AR40" s="4">
        <f t="shared" si="20"/>
        <v>0</v>
      </c>
      <c r="AS40" s="4">
        <f t="shared" si="20"/>
        <v>0</v>
      </c>
      <c r="AT40" s="4">
        <f t="shared" si="20"/>
        <v>0</v>
      </c>
      <c r="AU40" s="4">
        <f t="shared" si="20"/>
        <v>0</v>
      </c>
      <c r="AV40" s="4">
        <f t="shared" si="20"/>
        <v>0</v>
      </c>
      <c r="AW40" s="4">
        <f t="shared" si="20"/>
        <v>0</v>
      </c>
      <c r="AX40" s="4">
        <f t="shared" si="20"/>
        <v>0</v>
      </c>
      <c r="AY40" s="4">
        <f t="shared" si="21"/>
        <v>0</v>
      </c>
      <c r="AZ40" s="4">
        <f t="shared" si="21"/>
        <v>0</v>
      </c>
      <c r="BA40" s="4">
        <f t="shared" si="21"/>
        <v>0</v>
      </c>
      <c r="BB40" s="4">
        <f t="shared" si="21"/>
        <v>0</v>
      </c>
      <c r="BC40" s="4">
        <f t="shared" si="21"/>
        <v>0</v>
      </c>
      <c r="BD40" s="4">
        <f t="shared" si="21"/>
        <v>0</v>
      </c>
      <c r="BF40" s="2">
        <f t="shared" si="9"/>
        <v>550</v>
      </c>
      <c r="BG40" s="1">
        <f t="shared" si="25"/>
        <v>0</v>
      </c>
      <c r="BH40" s="1">
        <f t="shared" si="22"/>
        <v>0</v>
      </c>
      <c r="BI40" s="1">
        <f t="shared" si="22"/>
        <v>0</v>
      </c>
      <c r="BJ40" s="1">
        <f t="shared" si="22"/>
        <v>0</v>
      </c>
      <c r="BK40" s="1">
        <f t="shared" si="22"/>
        <v>0</v>
      </c>
      <c r="BL40" s="1">
        <f t="shared" si="22"/>
        <v>0</v>
      </c>
      <c r="BM40" s="1">
        <f t="shared" si="22"/>
        <v>0</v>
      </c>
      <c r="BN40" s="1">
        <f t="shared" si="22"/>
        <v>0</v>
      </c>
      <c r="BO40" s="1">
        <f t="shared" si="22"/>
        <v>0</v>
      </c>
      <c r="BP40" s="1">
        <f t="shared" si="22"/>
        <v>0</v>
      </c>
      <c r="BQ40" s="1">
        <f t="shared" si="22"/>
        <v>0</v>
      </c>
      <c r="BR40" s="1">
        <f t="shared" si="22"/>
        <v>0</v>
      </c>
      <c r="BS40" s="1">
        <f t="shared" si="22"/>
        <v>0</v>
      </c>
      <c r="BT40" s="1">
        <f t="shared" si="22"/>
        <v>0</v>
      </c>
      <c r="BU40" s="1">
        <f t="shared" si="22"/>
        <v>0</v>
      </c>
      <c r="BV40" s="1">
        <f t="shared" si="22"/>
        <v>0</v>
      </c>
      <c r="BW40" s="1">
        <f t="shared" si="22"/>
        <v>0</v>
      </c>
      <c r="BX40" s="1">
        <f t="shared" si="17"/>
        <v>0</v>
      </c>
      <c r="BY40" s="1">
        <f t="shared" si="17"/>
        <v>0</v>
      </c>
      <c r="BZ40" s="1">
        <f t="shared" si="17"/>
        <v>0</v>
      </c>
      <c r="CA40" s="1">
        <f t="shared" si="17"/>
        <v>0</v>
      </c>
      <c r="CB40" s="1">
        <f t="shared" si="17"/>
        <v>0</v>
      </c>
      <c r="CC40" s="1">
        <f t="shared" si="17"/>
        <v>0</v>
      </c>
      <c r="CD40" s="1">
        <f t="shared" si="17"/>
        <v>0</v>
      </c>
      <c r="CE40" s="1">
        <f t="shared" si="17"/>
        <v>0</v>
      </c>
      <c r="CF40" s="1">
        <f t="shared" si="17"/>
        <v>0</v>
      </c>
      <c r="CG40" s="1">
        <f t="shared" si="17"/>
        <v>0</v>
      </c>
      <c r="CH40" s="1">
        <f t="shared" si="17"/>
        <v>0</v>
      </c>
      <c r="CI40" s="1">
        <f t="shared" si="17"/>
        <v>0</v>
      </c>
      <c r="CJ40" s="1">
        <f t="shared" si="17"/>
        <v>0</v>
      </c>
      <c r="CK40" s="1">
        <f t="shared" si="17"/>
        <v>0</v>
      </c>
      <c r="CL40" s="1">
        <f t="shared" si="17"/>
        <v>0</v>
      </c>
      <c r="CM40" s="1">
        <f t="shared" si="23"/>
        <v>0</v>
      </c>
      <c r="CN40" s="1">
        <f t="shared" si="23"/>
        <v>0</v>
      </c>
      <c r="CO40" s="1">
        <f t="shared" si="23"/>
        <v>0</v>
      </c>
      <c r="CP40" s="1">
        <f t="shared" si="23"/>
        <v>0</v>
      </c>
      <c r="CQ40" s="1">
        <f t="shared" si="23"/>
        <v>0</v>
      </c>
      <c r="CR40" s="1">
        <f t="shared" si="23"/>
        <v>0</v>
      </c>
      <c r="CS40" s="1">
        <f t="shared" si="23"/>
        <v>0</v>
      </c>
      <c r="CT40" s="1">
        <f t="shared" si="23"/>
        <v>0</v>
      </c>
      <c r="CU40" s="1">
        <f t="shared" si="23"/>
        <v>0</v>
      </c>
      <c r="CV40" s="1">
        <f t="shared" si="23"/>
        <v>0</v>
      </c>
      <c r="CW40" s="1">
        <f t="shared" si="23"/>
        <v>0</v>
      </c>
      <c r="CX40" s="1">
        <f t="shared" si="23"/>
        <v>0</v>
      </c>
      <c r="CY40" s="1">
        <f t="shared" si="23"/>
        <v>0</v>
      </c>
      <c r="CZ40" s="1">
        <f t="shared" si="23"/>
        <v>0</v>
      </c>
      <c r="DA40" s="1">
        <f t="shared" si="23"/>
        <v>0</v>
      </c>
      <c r="DB40" s="1">
        <f t="shared" si="23"/>
        <v>0</v>
      </c>
      <c r="DC40" s="1">
        <f t="shared" si="18"/>
        <v>0</v>
      </c>
      <c r="DD40" s="1">
        <f t="shared" si="18"/>
        <v>0</v>
      </c>
    </row>
    <row r="41" spans="1:108" x14ac:dyDescent="0.2">
      <c r="A41">
        <v>600</v>
      </c>
      <c r="B41" s="1">
        <f t="shared" si="24"/>
        <v>1.3067640570775765E-5</v>
      </c>
      <c r="C41" s="3">
        <f t="shared" si="2"/>
        <v>1.5587266609263141E-6</v>
      </c>
      <c r="D41" s="5">
        <f t="shared" si="3"/>
        <v>14.29058274486292</v>
      </c>
      <c r="F41" s="1">
        <f t="shared" si="4"/>
        <v>1.3067640570775765E-5</v>
      </c>
      <c r="G41" s="4">
        <f t="shared" si="19"/>
        <v>90.935376548883355</v>
      </c>
      <c r="H41" s="4">
        <f t="shared" si="19"/>
        <v>82.215952977212638</v>
      </c>
      <c r="I41" s="4">
        <f t="shared" si="19"/>
        <v>75.022363531549573</v>
      </c>
      <c r="J41" s="4">
        <f t="shared" si="19"/>
        <v>68.9863178493476</v>
      </c>
      <c r="K41" s="4">
        <f t="shared" si="19"/>
        <v>63.849225103208148</v>
      </c>
      <c r="L41" s="4">
        <f t="shared" si="19"/>
        <v>59.424180593123424</v>
      </c>
      <c r="M41" s="4">
        <f t="shared" si="19"/>
        <v>55.572734864164836</v>
      </c>
      <c r="N41" s="4">
        <f t="shared" si="19"/>
        <v>52.19014689498907</v>
      </c>
      <c r="O41" s="4">
        <f t="shared" si="19"/>
        <v>49.195713915704808</v>
      </c>
      <c r="P41" s="4">
        <f t="shared" si="19"/>
        <v>46.526249573958552</v>
      </c>
      <c r="Q41" s="4">
        <f t="shared" si="19"/>
        <v>0</v>
      </c>
      <c r="R41" s="4">
        <f t="shared" si="19"/>
        <v>0</v>
      </c>
      <c r="S41" s="4">
        <f t="shared" si="19"/>
        <v>0</v>
      </c>
      <c r="T41" s="4">
        <f t="shared" si="19"/>
        <v>0</v>
      </c>
      <c r="U41" s="4">
        <f t="shared" si="19"/>
        <v>0</v>
      </c>
      <c r="V41" s="4">
        <f t="shared" ref="V41:AK56" si="26">IF(V$9=0, 0,MIN($D41/($D41+V$9)*$A41, 1000*10^(0.08*(LOG(($D41+V$9)/$D41)+0.2-0.02*$A41/1000)^4-0.592*(LOG(($D41+V$9)/$D41)+0.2-0.02*$A41/1000)^3+1.63*(LOG(($D41+V$9)/$D41)+0.2-0.02*$A41/1000)^2-3.28*(LOG(($D41+V$9)/$D41)+0.2-0.02*$A41/1000)+1.39)))</f>
        <v>0</v>
      </c>
      <c r="W41" s="4">
        <f t="shared" si="26"/>
        <v>0</v>
      </c>
      <c r="X41" s="4">
        <f t="shared" si="26"/>
        <v>0</v>
      </c>
      <c r="Y41" s="4">
        <f t="shared" si="26"/>
        <v>0</v>
      </c>
      <c r="Z41" s="4">
        <f t="shared" si="26"/>
        <v>0</v>
      </c>
      <c r="AA41" s="4">
        <f t="shared" si="26"/>
        <v>0</v>
      </c>
      <c r="AB41" s="4">
        <f t="shared" si="26"/>
        <v>0</v>
      </c>
      <c r="AC41" s="4">
        <f t="shared" si="26"/>
        <v>0</v>
      </c>
      <c r="AD41" s="4">
        <f t="shared" si="26"/>
        <v>0</v>
      </c>
      <c r="AE41" s="4">
        <f t="shared" si="26"/>
        <v>0</v>
      </c>
      <c r="AF41" s="4">
        <f t="shared" si="26"/>
        <v>0</v>
      </c>
      <c r="AG41" s="4">
        <f t="shared" si="26"/>
        <v>0</v>
      </c>
      <c r="AH41" s="4">
        <f t="shared" si="26"/>
        <v>0</v>
      </c>
      <c r="AI41" s="4">
        <f t="shared" si="26"/>
        <v>0</v>
      </c>
      <c r="AJ41" s="4">
        <f t="shared" si="26"/>
        <v>0</v>
      </c>
      <c r="AK41" s="4">
        <f t="shared" si="26"/>
        <v>0</v>
      </c>
      <c r="AL41" s="4">
        <f t="shared" si="20"/>
        <v>0</v>
      </c>
      <c r="AM41" s="4">
        <f t="shared" si="20"/>
        <v>0</v>
      </c>
      <c r="AN41" s="4">
        <f t="shared" si="20"/>
        <v>0</v>
      </c>
      <c r="AO41" s="4">
        <f t="shared" si="20"/>
        <v>0</v>
      </c>
      <c r="AP41" s="4">
        <f t="shared" si="20"/>
        <v>0</v>
      </c>
      <c r="AQ41" s="4">
        <f t="shared" si="20"/>
        <v>0</v>
      </c>
      <c r="AR41" s="4">
        <f t="shared" si="20"/>
        <v>0</v>
      </c>
      <c r="AS41" s="4">
        <f t="shared" si="20"/>
        <v>0</v>
      </c>
      <c r="AT41" s="4">
        <f t="shared" si="20"/>
        <v>0</v>
      </c>
      <c r="AU41" s="4">
        <f t="shared" si="20"/>
        <v>0</v>
      </c>
      <c r="AV41" s="4">
        <f t="shared" si="20"/>
        <v>0</v>
      </c>
      <c r="AW41" s="4">
        <f t="shared" si="20"/>
        <v>0</v>
      </c>
      <c r="AX41" s="4">
        <f t="shared" si="20"/>
        <v>0</v>
      </c>
      <c r="AY41" s="4">
        <f t="shared" si="21"/>
        <v>0</v>
      </c>
      <c r="AZ41" s="4">
        <f t="shared" si="21"/>
        <v>0</v>
      </c>
      <c r="BA41" s="4">
        <f t="shared" si="21"/>
        <v>0</v>
      </c>
      <c r="BB41" s="4">
        <f t="shared" si="21"/>
        <v>0</v>
      </c>
      <c r="BC41" s="4">
        <f t="shared" si="21"/>
        <v>0</v>
      </c>
      <c r="BD41" s="4">
        <f t="shared" si="21"/>
        <v>0</v>
      </c>
      <c r="BF41" s="2">
        <f t="shared" si="9"/>
        <v>600</v>
      </c>
      <c r="BG41" s="1">
        <f t="shared" si="25"/>
        <v>0</v>
      </c>
      <c r="BH41" s="1">
        <f t="shared" si="22"/>
        <v>0</v>
      </c>
      <c r="BI41" s="1">
        <f t="shared" si="22"/>
        <v>0</v>
      </c>
      <c r="BJ41" s="1">
        <f t="shared" si="22"/>
        <v>0</v>
      </c>
      <c r="BK41" s="1">
        <f t="shared" si="22"/>
        <v>0</v>
      </c>
      <c r="BL41" s="1">
        <f t="shared" si="22"/>
        <v>0</v>
      </c>
      <c r="BM41" s="1">
        <f t="shared" si="22"/>
        <v>0</v>
      </c>
      <c r="BN41" s="1">
        <f t="shared" si="22"/>
        <v>0</v>
      </c>
      <c r="BO41" s="1">
        <f t="shared" si="22"/>
        <v>0</v>
      </c>
      <c r="BP41" s="1">
        <f t="shared" si="22"/>
        <v>0</v>
      </c>
      <c r="BQ41" s="1">
        <f t="shared" si="22"/>
        <v>0</v>
      </c>
      <c r="BR41" s="1">
        <f t="shared" si="22"/>
        <v>0</v>
      </c>
      <c r="BS41" s="1">
        <f t="shared" si="22"/>
        <v>0</v>
      </c>
      <c r="BT41" s="1">
        <f t="shared" si="22"/>
        <v>0</v>
      </c>
      <c r="BU41" s="1">
        <f t="shared" si="22"/>
        <v>0</v>
      </c>
      <c r="BV41" s="1">
        <f t="shared" si="22"/>
        <v>0</v>
      </c>
      <c r="BW41" s="1">
        <f t="shared" ref="BW41:CL56" si="27">LOOKUP($A41,W41:W111,$B41:$B111)</f>
        <v>0</v>
      </c>
      <c r="BX41" s="1">
        <f t="shared" si="27"/>
        <v>0</v>
      </c>
      <c r="BY41" s="1">
        <f t="shared" si="27"/>
        <v>0</v>
      </c>
      <c r="BZ41" s="1">
        <f t="shared" si="27"/>
        <v>0</v>
      </c>
      <c r="CA41" s="1">
        <f t="shared" si="27"/>
        <v>0</v>
      </c>
      <c r="CB41" s="1">
        <f t="shared" si="27"/>
        <v>0</v>
      </c>
      <c r="CC41" s="1">
        <f t="shared" si="27"/>
        <v>0</v>
      </c>
      <c r="CD41" s="1">
        <f t="shared" si="27"/>
        <v>0</v>
      </c>
      <c r="CE41" s="1">
        <f t="shared" si="27"/>
        <v>0</v>
      </c>
      <c r="CF41" s="1">
        <f t="shared" si="27"/>
        <v>0</v>
      </c>
      <c r="CG41" s="1">
        <f t="shared" si="27"/>
        <v>0</v>
      </c>
      <c r="CH41" s="1">
        <f t="shared" si="27"/>
        <v>0</v>
      </c>
      <c r="CI41" s="1">
        <f t="shared" si="27"/>
        <v>0</v>
      </c>
      <c r="CJ41" s="1">
        <f t="shared" si="27"/>
        <v>0</v>
      </c>
      <c r="CK41" s="1">
        <f t="shared" si="27"/>
        <v>0</v>
      </c>
      <c r="CL41" s="1">
        <f t="shared" si="27"/>
        <v>0</v>
      </c>
      <c r="CM41" s="1">
        <f t="shared" si="23"/>
        <v>0</v>
      </c>
      <c r="CN41" s="1">
        <f t="shared" si="23"/>
        <v>0</v>
      </c>
      <c r="CO41" s="1">
        <f t="shared" si="23"/>
        <v>0</v>
      </c>
      <c r="CP41" s="1">
        <f t="shared" si="23"/>
        <v>0</v>
      </c>
      <c r="CQ41" s="1">
        <f t="shared" si="23"/>
        <v>0</v>
      </c>
      <c r="CR41" s="1">
        <f t="shared" si="23"/>
        <v>0</v>
      </c>
      <c r="CS41" s="1">
        <f t="shared" si="23"/>
        <v>0</v>
      </c>
      <c r="CT41" s="1">
        <f t="shared" si="23"/>
        <v>0</v>
      </c>
      <c r="CU41" s="1">
        <f t="shared" si="23"/>
        <v>0</v>
      </c>
      <c r="CV41" s="1">
        <f t="shared" si="23"/>
        <v>0</v>
      </c>
      <c r="CW41" s="1">
        <f t="shared" si="23"/>
        <v>0</v>
      </c>
      <c r="CX41" s="1">
        <f t="shared" si="23"/>
        <v>0</v>
      </c>
      <c r="CY41" s="1">
        <f t="shared" si="23"/>
        <v>0</v>
      </c>
      <c r="CZ41" s="1">
        <f t="shared" si="23"/>
        <v>0</v>
      </c>
      <c r="DA41" s="1">
        <f t="shared" si="23"/>
        <v>0</v>
      </c>
      <c r="DB41" s="1">
        <f t="shared" ref="DB41:DD56" si="28">LOOKUP($A41,BB41:BB111,$B41:$B111)</f>
        <v>0</v>
      </c>
      <c r="DC41" s="1">
        <f t="shared" si="28"/>
        <v>0</v>
      </c>
      <c r="DD41" s="1">
        <f t="shared" si="28"/>
        <v>0</v>
      </c>
    </row>
    <row r="42" spans="1:108" x14ac:dyDescent="0.2">
      <c r="A42">
        <v>650</v>
      </c>
      <c r="B42" s="1">
        <f t="shared" si="24"/>
        <v>1.1508913909849451E-5</v>
      </c>
      <c r="C42" s="3">
        <f t="shared" ref="C42:C78" si="29">B42-B43</f>
        <v>1.3727995388629746E-6</v>
      </c>
      <c r="D42" s="5">
        <f t="shared" ref="D42:D73" si="30">$B$7* (A42/1000)^1.2^0.3333/($E$2/1000+1)^1.2^0.3333</f>
        <v>14.755481669829983</v>
      </c>
      <c r="F42" s="1">
        <f t="shared" ref="F42:F73" si="31">B42</f>
        <v>1.1508913909849451E-5</v>
      </c>
      <c r="G42" s="4">
        <f t="shared" ref="G42:V57" si="32">IF(G$9=0, 0,MIN($D42/($D42+G$9)*$A42, 1000*10^(0.08*(LOG(($D42+G$9)/$D42)+0.2-0.02*$A42/1000)^4-0.592*(LOG(($D42+G$9)/$D42)+0.2-0.02*$A42/1000)^3+1.63*(LOG(($D42+G$9)/$D42)+0.2-0.02*$A42/1000)^2-3.28*(LOG(($D42+G$9)/$D42)+0.2-0.02*$A42/1000)+1.39)))</f>
        <v>101.21908428273306</v>
      </c>
      <c r="H42" s="4">
        <f t="shared" si="32"/>
        <v>91.556670185706906</v>
      </c>
      <c r="I42" s="4">
        <f t="shared" si="32"/>
        <v>83.578256531435457</v>
      </c>
      <c r="J42" s="4">
        <f t="shared" si="32"/>
        <v>76.878891067669429</v>
      </c>
      <c r="K42" s="4">
        <f t="shared" si="32"/>
        <v>71.173825113021763</v>
      </c>
      <c r="L42" s="4">
        <f t="shared" si="32"/>
        <v>66.256994034019115</v>
      </c>
      <c r="M42" s="4">
        <f t="shared" si="32"/>
        <v>61.975595189913683</v>
      </c>
      <c r="N42" s="4">
        <f t="shared" si="32"/>
        <v>58.213923981054435</v>
      </c>
      <c r="O42" s="4">
        <f t="shared" si="32"/>
        <v>54.882759577809018</v>
      </c>
      <c r="P42" s="4">
        <f t="shared" si="32"/>
        <v>51.91219767178189</v>
      </c>
      <c r="Q42" s="4">
        <f t="shared" si="32"/>
        <v>0</v>
      </c>
      <c r="R42" s="4">
        <f t="shared" si="32"/>
        <v>0</v>
      </c>
      <c r="S42" s="4">
        <f t="shared" si="32"/>
        <v>0</v>
      </c>
      <c r="T42" s="4">
        <f t="shared" si="32"/>
        <v>0</v>
      </c>
      <c r="U42" s="4">
        <f t="shared" si="32"/>
        <v>0</v>
      </c>
      <c r="V42" s="4">
        <f t="shared" si="32"/>
        <v>0</v>
      </c>
      <c r="W42" s="4">
        <f t="shared" si="26"/>
        <v>0</v>
      </c>
      <c r="X42" s="4">
        <f t="shared" si="26"/>
        <v>0</v>
      </c>
      <c r="Y42" s="4">
        <f t="shared" si="26"/>
        <v>0</v>
      </c>
      <c r="Z42" s="4">
        <f t="shared" si="26"/>
        <v>0</v>
      </c>
      <c r="AA42" s="4">
        <f t="shared" si="26"/>
        <v>0</v>
      </c>
      <c r="AB42" s="4">
        <f t="shared" si="26"/>
        <v>0</v>
      </c>
      <c r="AC42" s="4">
        <f t="shared" si="26"/>
        <v>0</v>
      </c>
      <c r="AD42" s="4">
        <f t="shared" si="26"/>
        <v>0</v>
      </c>
      <c r="AE42" s="4">
        <f t="shared" si="26"/>
        <v>0</v>
      </c>
      <c r="AF42" s="4">
        <f t="shared" si="26"/>
        <v>0</v>
      </c>
      <c r="AG42" s="4">
        <f t="shared" si="26"/>
        <v>0</v>
      </c>
      <c r="AH42" s="4">
        <f t="shared" si="26"/>
        <v>0</v>
      </c>
      <c r="AI42" s="4">
        <f t="shared" si="26"/>
        <v>0</v>
      </c>
      <c r="AJ42" s="4">
        <f t="shared" si="26"/>
        <v>0</v>
      </c>
      <c r="AK42" s="4">
        <f t="shared" si="26"/>
        <v>0</v>
      </c>
      <c r="AL42" s="4">
        <f t="shared" ref="AL42:AX57" si="33">IF(AL$9=0, 0,MIN($D42/($D42+AL$9)*$A42, 1000*10^(0.08*(LOG(($D42+AL$9)/$D42)+0.2-0.02*$A42/1000)^4-0.592*(LOG(($D42+AL$9)/$D42)+0.2-0.02*$A42/1000)^3+1.63*(LOG(($D42+AL$9)/$D42)+0.2-0.02*$A42/1000)^2-3.28*(LOG(($D42+AL$9)/$D42)+0.2-0.02*$A42/1000)+1.39)))</f>
        <v>0</v>
      </c>
      <c r="AM42" s="4">
        <f t="shared" si="33"/>
        <v>0</v>
      </c>
      <c r="AN42" s="4">
        <f t="shared" si="33"/>
        <v>0</v>
      </c>
      <c r="AO42" s="4">
        <f t="shared" si="33"/>
        <v>0</v>
      </c>
      <c r="AP42" s="4">
        <f t="shared" si="33"/>
        <v>0</v>
      </c>
      <c r="AQ42" s="4">
        <f t="shared" si="33"/>
        <v>0</v>
      </c>
      <c r="AR42" s="4">
        <f t="shared" si="33"/>
        <v>0</v>
      </c>
      <c r="AS42" s="4">
        <f t="shared" si="33"/>
        <v>0</v>
      </c>
      <c r="AT42" s="4">
        <f t="shared" si="33"/>
        <v>0</v>
      </c>
      <c r="AU42" s="4">
        <f t="shared" si="33"/>
        <v>0</v>
      </c>
      <c r="AV42" s="4">
        <f t="shared" si="33"/>
        <v>0</v>
      </c>
      <c r="AW42" s="4">
        <f t="shared" si="33"/>
        <v>0</v>
      </c>
      <c r="AX42" s="4">
        <f t="shared" si="33"/>
        <v>0</v>
      </c>
      <c r="AY42" s="4">
        <f t="shared" ref="AY42:BD57" si="34">IF(AY$9=0, 0,MIN($D42/($D42+AY$9)*$A42, 1000*10^(0.08*(LOG(($D42+AY$9)/$D42)+0.2-0.02*$A42/1000)^4-0.592*(LOG(($D42+AY$9)/$D42)+0.2-0.02*$A42/1000)^3+1.63*(LOG(($D42+AY$9)/$D42)+0.2-0.02*$A42/1000)^2-3.28*(LOG(($D42+AY$9)/$D42)+0.2-0.02*$A42/1000)+1.39)))</f>
        <v>0</v>
      </c>
      <c r="AZ42" s="4">
        <f t="shared" si="34"/>
        <v>0</v>
      </c>
      <c r="BA42" s="4">
        <f t="shared" si="34"/>
        <v>0</v>
      </c>
      <c r="BB42" s="4">
        <f t="shared" si="34"/>
        <v>0</v>
      </c>
      <c r="BC42" s="4">
        <f t="shared" si="34"/>
        <v>0</v>
      </c>
      <c r="BD42" s="4">
        <f t="shared" si="34"/>
        <v>0</v>
      </c>
      <c r="BF42" s="2">
        <f t="shared" ref="BF42:BF73" si="35">A42</f>
        <v>650</v>
      </c>
      <c r="BG42" s="1">
        <f t="shared" si="25"/>
        <v>0</v>
      </c>
      <c r="BH42" s="1">
        <f t="shared" ref="BH42:BW57" si="36">LOOKUP($A42,H42:H112,$B42:$B112)</f>
        <v>0</v>
      </c>
      <c r="BI42" s="1">
        <f t="shared" si="36"/>
        <v>0</v>
      </c>
      <c r="BJ42" s="1">
        <f t="shared" si="36"/>
        <v>0</v>
      </c>
      <c r="BK42" s="1">
        <f t="shared" si="36"/>
        <v>0</v>
      </c>
      <c r="BL42" s="1">
        <f t="shared" si="36"/>
        <v>0</v>
      </c>
      <c r="BM42" s="1">
        <f t="shared" si="36"/>
        <v>0</v>
      </c>
      <c r="BN42" s="1">
        <f t="shared" si="36"/>
        <v>0</v>
      </c>
      <c r="BO42" s="1">
        <f t="shared" si="36"/>
        <v>0</v>
      </c>
      <c r="BP42" s="1">
        <f t="shared" si="36"/>
        <v>0</v>
      </c>
      <c r="BQ42" s="1">
        <f t="shared" si="36"/>
        <v>0</v>
      </c>
      <c r="BR42" s="1">
        <f t="shared" si="36"/>
        <v>0</v>
      </c>
      <c r="BS42" s="1">
        <f t="shared" si="36"/>
        <v>0</v>
      </c>
      <c r="BT42" s="1">
        <f t="shared" si="36"/>
        <v>0</v>
      </c>
      <c r="BU42" s="1">
        <f t="shared" si="36"/>
        <v>0</v>
      </c>
      <c r="BV42" s="1">
        <f t="shared" si="36"/>
        <v>0</v>
      </c>
      <c r="BW42" s="1">
        <f t="shared" si="36"/>
        <v>0</v>
      </c>
      <c r="BX42" s="1">
        <f t="shared" si="27"/>
        <v>0</v>
      </c>
      <c r="BY42" s="1">
        <f t="shared" si="27"/>
        <v>0</v>
      </c>
      <c r="BZ42" s="1">
        <f t="shared" si="27"/>
        <v>0</v>
      </c>
      <c r="CA42" s="1">
        <f t="shared" si="27"/>
        <v>0</v>
      </c>
      <c r="CB42" s="1">
        <f t="shared" si="27"/>
        <v>0</v>
      </c>
      <c r="CC42" s="1">
        <f t="shared" si="27"/>
        <v>0</v>
      </c>
      <c r="CD42" s="1">
        <f t="shared" si="27"/>
        <v>0</v>
      </c>
      <c r="CE42" s="1">
        <f t="shared" si="27"/>
        <v>0</v>
      </c>
      <c r="CF42" s="1">
        <f t="shared" si="27"/>
        <v>0</v>
      </c>
      <c r="CG42" s="1">
        <f t="shared" si="27"/>
        <v>0</v>
      </c>
      <c r="CH42" s="1">
        <f t="shared" si="27"/>
        <v>0</v>
      </c>
      <c r="CI42" s="1">
        <f t="shared" si="27"/>
        <v>0</v>
      </c>
      <c r="CJ42" s="1">
        <f t="shared" si="27"/>
        <v>0</v>
      </c>
      <c r="CK42" s="1">
        <f t="shared" si="27"/>
        <v>0</v>
      </c>
      <c r="CL42" s="1">
        <f t="shared" si="27"/>
        <v>0</v>
      </c>
      <c r="CM42" s="1">
        <f t="shared" ref="CM42:DB57" si="37">LOOKUP($A42,AM42:AM112,$B42:$B112)</f>
        <v>0</v>
      </c>
      <c r="CN42" s="1">
        <f t="shared" si="37"/>
        <v>0</v>
      </c>
      <c r="CO42" s="1">
        <f t="shared" si="37"/>
        <v>0</v>
      </c>
      <c r="CP42" s="1">
        <f t="shared" si="37"/>
        <v>0</v>
      </c>
      <c r="CQ42" s="1">
        <f t="shared" si="37"/>
        <v>0</v>
      </c>
      <c r="CR42" s="1">
        <f t="shared" si="37"/>
        <v>0</v>
      </c>
      <c r="CS42" s="1">
        <f t="shared" si="37"/>
        <v>0</v>
      </c>
      <c r="CT42" s="1">
        <f t="shared" si="37"/>
        <v>0</v>
      </c>
      <c r="CU42" s="1">
        <f t="shared" si="37"/>
        <v>0</v>
      </c>
      <c r="CV42" s="1">
        <f t="shared" si="37"/>
        <v>0</v>
      </c>
      <c r="CW42" s="1">
        <f t="shared" si="37"/>
        <v>0</v>
      </c>
      <c r="CX42" s="1">
        <f t="shared" si="37"/>
        <v>0</v>
      </c>
      <c r="CY42" s="1">
        <f t="shared" si="37"/>
        <v>0</v>
      </c>
      <c r="CZ42" s="1">
        <f t="shared" si="37"/>
        <v>0</v>
      </c>
      <c r="DA42" s="1">
        <f t="shared" si="37"/>
        <v>0</v>
      </c>
      <c r="DB42" s="1">
        <f t="shared" si="37"/>
        <v>0</v>
      </c>
      <c r="DC42" s="1">
        <f t="shared" si="28"/>
        <v>0</v>
      </c>
      <c r="DD42" s="1">
        <f t="shared" si="28"/>
        <v>0</v>
      </c>
    </row>
    <row r="43" spans="1:108" x14ac:dyDescent="0.2">
      <c r="A43">
        <v>700</v>
      </c>
      <c r="B43" s="1">
        <f t="shared" ref="B43:B58" si="38">IF(A43&lt;($E$2+0.001),EXP(($E$2-A43)/($E$2)*(LN($B$5)-LN($B$5*0.001))+LN($B$5*0.001)),0)</f>
        <v>1.0136114370986476E-5</v>
      </c>
      <c r="C43" s="3">
        <f t="shared" si="29"/>
        <v>1.2090500670479533E-6</v>
      </c>
      <c r="D43" s="5">
        <f t="shared" si="30"/>
        <v>15.199383638333902</v>
      </c>
      <c r="F43" s="1">
        <f t="shared" si="31"/>
        <v>1.0136114370986476E-5</v>
      </c>
      <c r="G43" s="4">
        <f t="shared" si="32"/>
        <v>111.76089739460771</v>
      </c>
      <c r="H43" s="4">
        <f t="shared" si="32"/>
        <v>101.13717570258414</v>
      </c>
      <c r="I43" s="4">
        <f t="shared" si="32"/>
        <v>92.357860005887161</v>
      </c>
      <c r="J43" s="4">
        <f t="shared" si="32"/>
        <v>84.980997810408383</v>
      </c>
      <c r="K43" s="4">
        <f t="shared" si="32"/>
        <v>78.695392393912002</v>
      </c>
      <c r="L43" s="4">
        <f t="shared" si="32"/>
        <v>73.27557652265952</v>
      </c>
      <c r="M43" s="4">
        <f t="shared" si="32"/>
        <v>68.554193305480254</v>
      </c>
      <c r="N43" s="4">
        <f t="shared" si="32"/>
        <v>64.404408252070866</v>
      </c>
      <c r="O43" s="4">
        <f t="shared" si="32"/>
        <v>60.728344620190647</v>
      </c>
      <c r="P43" s="4">
        <f t="shared" si="32"/>
        <v>57.449265423103043</v>
      </c>
      <c r="Q43" s="4">
        <f t="shared" si="32"/>
        <v>0</v>
      </c>
      <c r="R43" s="4">
        <f t="shared" si="32"/>
        <v>0</v>
      </c>
      <c r="S43" s="4">
        <f t="shared" si="32"/>
        <v>0</v>
      </c>
      <c r="T43" s="4">
        <f t="shared" si="32"/>
        <v>0</v>
      </c>
      <c r="U43" s="4">
        <f t="shared" si="32"/>
        <v>0</v>
      </c>
      <c r="V43" s="4">
        <f t="shared" si="32"/>
        <v>0</v>
      </c>
      <c r="W43" s="4">
        <f t="shared" si="26"/>
        <v>0</v>
      </c>
      <c r="X43" s="4">
        <f t="shared" si="26"/>
        <v>0</v>
      </c>
      <c r="Y43" s="4">
        <f t="shared" si="26"/>
        <v>0</v>
      </c>
      <c r="Z43" s="4">
        <f t="shared" si="26"/>
        <v>0</v>
      </c>
      <c r="AA43" s="4">
        <f t="shared" si="26"/>
        <v>0</v>
      </c>
      <c r="AB43" s="4">
        <f t="shared" si="26"/>
        <v>0</v>
      </c>
      <c r="AC43" s="4">
        <f t="shared" si="26"/>
        <v>0</v>
      </c>
      <c r="AD43" s="4">
        <f t="shared" si="26"/>
        <v>0</v>
      </c>
      <c r="AE43" s="4">
        <f t="shared" si="26"/>
        <v>0</v>
      </c>
      <c r="AF43" s="4">
        <f t="shared" si="26"/>
        <v>0</v>
      </c>
      <c r="AG43" s="4">
        <f t="shared" si="26"/>
        <v>0</v>
      </c>
      <c r="AH43" s="4">
        <f t="shared" si="26"/>
        <v>0</v>
      </c>
      <c r="AI43" s="4">
        <f t="shared" si="26"/>
        <v>0</v>
      </c>
      <c r="AJ43" s="4">
        <f t="shared" si="26"/>
        <v>0</v>
      </c>
      <c r="AK43" s="4">
        <f t="shared" si="26"/>
        <v>0</v>
      </c>
      <c r="AL43" s="4">
        <f t="shared" si="33"/>
        <v>0</v>
      </c>
      <c r="AM43" s="4">
        <f t="shared" si="33"/>
        <v>0</v>
      </c>
      <c r="AN43" s="4">
        <f t="shared" si="33"/>
        <v>0</v>
      </c>
      <c r="AO43" s="4">
        <f t="shared" si="33"/>
        <v>0</v>
      </c>
      <c r="AP43" s="4">
        <f t="shared" si="33"/>
        <v>0</v>
      </c>
      <c r="AQ43" s="4">
        <f t="shared" si="33"/>
        <v>0</v>
      </c>
      <c r="AR43" s="4">
        <f t="shared" si="33"/>
        <v>0</v>
      </c>
      <c r="AS43" s="4">
        <f t="shared" si="33"/>
        <v>0</v>
      </c>
      <c r="AT43" s="4">
        <f t="shared" si="33"/>
        <v>0</v>
      </c>
      <c r="AU43" s="4">
        <f t="shared" si="33"/>
        <v>0</v>
      </c>
      <c r="AV43" s="4">
        <f t="shared" si="33"/>
        <v>0</v>
      </c>
      <c r="AW43" s="4">
        <f t="shared" si="33"/>
        <v>0</v>
      </c>
      <c r="AX43" s="4">
        <f t="shared" si="33"/>
        <v>0</v>
      </c>
      <c r="AY43" s="4">
        <f t="shared" si="34"/>
        <v>0</v>
      </c>
      <c r="AZ43" s="4">
        <f t="shared" si="34"/>
        <v>0</v>
      </c>
      <c r="BA43" s="4">
        <f t="shared" si="34"/>
        <v>0</v>
      </c>
      <c r="BB43" s="4">
        <f t="shared" si="34"/>
        <v>0</v>
      </c>
      <c r="BC43" s="4">
        <f t="shared" si="34"/>
        <v>0</v>
      </c>
      <c r="BD43" s="4">
        <f t="shared" si="34"/>
        <v>0</v>
      </c>
      <c r="BF43" s="2">
        <f t="shared" si="35"/>
        <v>700</v>
      </c>
      <c r="BG43" s="1">
        <f t="shared" ref="BG43:BG58" si="39">LOOKUP($A43,G43:G113,$B43:$B113)</f>
        <v>0</v>
      </c>
      <c r="BH43" s="1">
        <f t="shared" si="36"/>
        <v>0</v>
      </c>
      <c r="BI43" s="1">
        <f t="shared" si="36"/>
        <v>0</v>
      </c>
      <c r="BJ43" s="1">
        <f t="shared" si="36"/>
        <v>0</v>
      </c>
      <c r="BK43" s="1">
        <f t="shared" si="36"/>
        <v>0</v>
      </c>
      <c r="BL43" s="1">
        <f t="shared" si="36"/>
        <v>0</v>
      </c>
      <c r="BM43" s="1">
        <f t="shared" si="36"/>
        <v>0</v>
      </c>
      <c r="BN43" s="1">
        <f t="shared" si="36"/>
        <v>0</v>
      </c>
      <c r="BO43" s="1">
        <f t="shared" si="36"/>
        <v>0</v>
      </c>
      <c r="BP43" s="1">
        <f t="shared" si="36"/>
        <v>0</v>
      </c>
      <c r="BQ43" s="1">
        <f t="shared" si="36"/>
        <v>0</v>
      </c>
      <c r="BR43" s="1">
        <f t="shared" si="36"/>
        <v>0</v>
      </c>
      <c r="BS43" s="1">
        <f t="shared" si="36"/>
        <v>0</v>
      </c>
      <c r="BT43" s="1">
        <f t="shared" si="36"/>
        <v>0</v>
      </c>
      <c r="BU43" s="1">
        <f t="shared" si="36"/>
        <v>0</v>
      </c>
      <c r="BV43" s="1">
        <f t="shared" si="36"/>
        <v>0</v>
      </c>
      <c r="BW43" s="1">
        <f t="shared" si="36"/>
        <v>0</v>
      </c>
      <c r="BX43" s="1">
        <f t="shared" si="27"/>
        <v>0</v>
      </c>
      <c r="BY43" s="1">
        <f t="shared" si="27"/>
        <v>0</v>
      </c>
      <c r="BZ43" s="1">
        <f t="shared" si="27"/>
        <v>0</v>
      </c>
      <c r="CA43" s="1">
        <f t="shared" si="27"/>
        <v>0</v>
      </c>
      <c r="CB43" s="1">
        <f t="shared" si="27"/>
        <v>0</v>
      </c>
      <c r="CC43" s="1">
        <f t="shared" si="27"/>
        <v>0</v>
      </c>
      <c r="CD43" s="1">
        <f t="shared" si="27"/>
        <v>0</v>
      </c>
      <c r="CE43" s="1">
        <f t="shared" si="27"/>
        <v>0</v>
      </c>
      <c r="CF43" s="1">
        <f t="shared" si="27"/>
        <v>0</v>
      </c>
      <c r="CG43" s="1">
        <f t="shared" si="27"/>
        <v>0</v>
      </c>
      <c r="CH43" s="1">
        <f t="shared" si="27"/>
        <v>0</v>
      </c>
      <c r="CI43" s="1">
        <f t="shared" si="27"/>
        <v>0</v>
      </c>
      <c r="CJ43" s="1">
        <f t="shared" si="27"/>
        <v>0</v>
      </c>
      <c r="CK43" s="1">
        <f t="shared" si="27"/>
        <v>0</v>
      </c>
      <c r="CL43" s="1">
        <f t="shared" si="27"/>
        <v>0</v>
      </c>
      <c r="CM43" s="1">
        <f t="shared" si="37"/>
        <v>0</v>
      </c>
      <c r="CN43" s="1">
        <f t="shared" si="37"/>
        <v>0</v>
      </c>
      <c r="CO43" s="1">
        <f t="shared" si="37"/>
        <v>0</v>
      </c>
      <c r="CP43" s="1">
        <f t="shared" si="37"/>
        <v>0</v>
      </c>
      <c r="CQ43" s="1">
        <f t="shared" si="37"/>
        <v>0</v>
      </c>
      <c r="CR43" s="1">
        <f t="shared" si="37"/>
        <v>0</v>
      </c>
      <c r="CS43" s="1">
        <f t="shared" si="37"/>
        <v>0</v>
      </c>
      <c r="CT43" s="1">
        <f t="shared" si="37"/>
        <v>0</v>
      </c>
      <c r="CU43" s="1">
        <f t="shared" si="37"/>
        <v>0</v>
      </c>
      <c r="CV43" s="1">
        <f t="shared" si="37"/>
        <v>0</v>
      </c>
      <c r="CW43" s="1">
        <f t="shared" si="37"/>
        <v>0</v>
      </c>
      <c r="CX43" s="1">
        <f t="shared" si="37"/>
        <v>0</v>
      </c>
      <c r="CY43" s="1">
        <f t="shared" si="37"/>
        <v>0</v>
      </c>
      <c r="CZ43" s="1">
        <f t="shared" si="37"/>
        <v>0</v>
      </c>
      <c r="DA43" s="1">
        <f t="shared" si="37"/>
        <v>0</v>
      </c>
      <c r="DB43" s="1">
        <f t="shared" si="37"/>
        <v>0</v>
      </c>
      <c r="DC43" s="1">
        <f t="shared" si="28"/>
        <v>0</v>
      </c>
      <c r="DD43" s="1">
        <f t="shared" si="28"/>
        <v>0</v>
      </c>
    </row>
    <row r="44" spans="1:108" x14ac:dyDescent="0.2">
      <c r="A44">
        <v>750</v>
      </c>
      <c r="B44" s="1">
        <f t="shared" si="38"/>
        <v>8.9270643039385229E-6</v>
      </c>
      <c r="C44" s="3">
        <f t="shared" si="29"/>
        <v>1.0648328639732805E-6</v>
      </c>
      <c r="D44" s="5">
        <f t="shared" si="30"/>
        <v>15.624641725637238</v>
      </c>
      <c r="F44" s="1">
        <f t="shared" si="31"/>
        <v>8.9270643039385229E-6</v>
      </c>
      <c r="G44" s="4">
        <f t="shared" si="32"/>
        <v>122.54666875354337</v>
      </c>
      <c r="H44" s="4">
        <f t="shared" si="32"/>
        <v>110.94457792024507</v>
      </c>
      <c r="I44" s="4">
        <f t="shared" si="32"/>
        <v>101.34934144950186</v>
      </c>
      <c r="J44" s="4">
        <f t="shared" si="32"/>
        <v>93.281709171525094</v>
      </c>
      <c r="K44" s="4">
        <f t="shared" si="32"/>
        <v>86.403776962109191</v>
      </c>
      <c r="L44" s="4">
        <f t="shared" si="32"/>
        <v>80.47045579213183</v>
      </c>
      <c r="M44" s="4">
        <f t="shared" si="32"/>
        <v>75.299651548032784</v>
      </c>
      <c r="N44" s="4">
        <f t="shared" si="32"/>
        <v>70.753247657676354</v>
      </c>
      <c r="O44" s="4">
        <f t="shared" si="32"/>
        <v>66.724584768318948</v>
      </c>
      <c r="P44" s="4">
        <f t="shared" si="32"/>
        <v>63.129987405165991</v>
      </c>
      <c r="Q44" s="4">
        <f t="shared" si="32"/>
        <v>0</v>
      </c>
      <c r="R44" s="4">
        <f t="shared" si="32"/>
        <v>0</v>
      </c>
      <c r="S44" s="4">
        <f t="shared" si="32"/>
        <v>0</v>
      </c>
      <c r="T44" s="4">
        <f t="shared" si="32"/>
        <v>0</v>
      </c>
      <c r="U44" s="4">
        <f t="shared" si="32"/>
        <v>0</v>
      </c>
      <c r="V44" s="4">
        <f t="shared" si="32"/>
        <v>0</v>
      </c>
      <c r="W44" s="4">
        <f t="shared" si="26"/>
        <v>0</v>
      </c>
      <c r="X44" s="4">
        <f t="shared" si="26"/>
        <v>0</v>
      </c>
      <c r="Y44" s="4">
        <f t="shared" si="26"/>
        <v>0</v>
      </c>
      <c r="Z44" s="4">
        <f t="shared" si="26"/>
        <v>0</v>
      </c>
      <c r="AA44" s="4">
        <f t="shared" si="26"/>
        <v>0</v>
      </c>
      <c r="AB44" s="4">
        <f t="shared" si="26"/>
        <v>0</v>
      </c>
      <c r="AC44" s="4">
        <f t="shared" si="26"/>
        <v>0</v>
      </c>
      <c r="AD44" s="4">
        <f t="shared" si="26"/>
        <v>0</v>
      </c>
      <c r="AE44" s="4">
        <f t="shared" si="26"/>
        <v>0</v>
      </c>
      <c r="AF44" s="4">
        <f t="shared" si="26"/>
        <v>0</v>
      </c>
      <c r="AG44" s="4">
        <f t="shared" si="26"/>
        <v>0</v>
      </c>
      <c r="AH44" s="4">
        <f t="shared" si="26"/>
        <v>0</v>
      </c>
      <c r="AI44" s="4">
        <f t="shared" si="26"/>
        <v>0</v>
      </c>
      <c r="AJ44" s="4">
        <f t="shared" si="26"/>
        <v>0</v>
      </c>
      <c r="AK44" s="4">
        <f t="shared" si="26"/>
        <v>0</v>
      </c>
      <c r="AL44" s="4">
        <f t="shared" si="33"/>
        <v>0</v>
      </c>
      <c r="AM44" s="4">
        <f t="shared" si="33"/>
        <v>0</v>
      </c>
      <c r="AN44" s="4">
        <f t="shared" si="33"/>
        <v>0</v>
      </c>
      <c r="AO44" s="4">
        <f t="shared" si="33"/>
        <v>0</v>
      </c>
      <c r="AP44" s="4">
        <f t="shared" si="33"/>
        <v>0</v>
      </c>
      <c r="AQ44" s="4">
        <f t="shared" si="33"/>
        <v>0</v>
      </c>
      <c r="AR44" s="4">
        <f t="shared" si="33"/>
        <v>0</v>
      </c>
      <c r="AS44" s="4">
        <f t="shared" si="33"/>
        <v>0</v>
      </c>
      <c r="AT44" s="4">
        <f t="shared" si="33"/>
        <v>0</v>
      </c>
      <c r="AU44" s="4">
        <f t="shared" si="33"/>
        <v>0</v>
      </c>
      <c r="AV44" s="4">
        <f t="shared" si="33"/>
        <v>0</v>
      </c>
      <c r="AW44" s="4">
        <f t="shared" si="33"/>
        <v>0</v>
      </c>
      <c r="AX44" s="4">
        <f t="shared" si="33"/>
        <v>0</v>
      </c>
      <c r="AY44" s="4">
        <f t="shared" si="34"/>
        <v>0</v>
      </c>
      <c r="AZ44" s="4">
        <f t="shared" si="34"/>
        <v>0</v>
      </c>
      <c r="BA44" s="4">
        <f t="shared" si="34"/>
        <v>0</v>
      </c>
      <c r="BB44" s="4">
        <f t="shared" si="34"/>
        <v>0</v>
      </c>
      <c r="BC44" s="4">
        <f t="shared" si="34"/>
        <v>0</v>
      </c>
      <c r="BD44" s="4">
        <f t="shared" si="34"/>
        <v>0</v>
      </c>
      <c r="BF44" s="2">
        <f t="shared" si="35"/>
        <v>750</v>
      </c>
      <c r="BG44" s="1">
        <f t="shared" si="39"/>
        <v>0</v>
      </c>
      <c r="BH44" s="1">
        <f t="shared" si="36"/>
        <v>0</v>
      </c>
      <c r="BI44" s="1">
        <f t="shared" si="36"/>
        <v>0</v>
      </c>
      <c r="BJ44" s="1">
        <f t="shared" si="36"/>
        <v>0</v>
      </c>
      <c r="BK44" s="1">
        <f t="shared" si="36"/>
        <v>0</v>
      </c>
      <c r="BL44" s="1">
        <f t="shared" si="36"/>
        <v>0</v>
      </c>
      <c r="BM44" s="1">
        <f t="shared" si="36"/>
        <v>0</v>
      </c>
      <c r="BN44" s="1">
        <f t="shared" si="36"/>
        <v>0</v>
      </c>
      <c r="BO44" s="1">
        <f t="shared" si="36"/>
        <v>0</v>
      </c>
      <c r="BP44" s="1">
        <f t="shared" si="36"/>
        <v>0</v>
      </c>
      <c r="BQ44" s="1">
        <f t="shared" si="36"/>
        <v>0</v>
      </c>
      <c r="BR44" s="1">
        <f t="shared" si="36"/>
        <v>0</v>
      </c>
      <c r="BS44" s="1">
        <f t="shared" si="36"/>
        <v>0</v>
      </c>
      <c r="BT44" s="1">
        <f t="shared" si="36"/>
        <v>0</v>
      </c>
      <c r="BU44" s="1">
        <f t="shared" si="36"/>
        <v>0</v>
      </c>
      <c r="BV44" s="1">
        <f t="shared" si="36"/>
        <v>0</v>
      </c>
      <c r="BW44" s="1">
        <f t="shared" si="36"/>
        <v>0</v>
      </c>
      <c r="BX44" s="1">
        <f t="shared" si="27"/>
        <v>0</v>
      </c>
      <c r="BY44" s="1">
        <f t="shared" si="27"/>
        <v>0</v>
      </c>
      <c r="BZ44" s="1">
        <f t="shared" si="27"/>
        <v>0</v>
      </c>
      <c r="CA44" s="1">
        <f t="shared" si="27"/>
        <v>0</v>
      </c>
      <c r="CB44" s="1">
        <f t="shared" si="27"/>
        <v>0</v>
      </c>
      <c r="CC44" s="1">
        <f t="shared" si="27"/>
        <v>0</v>
      </c>
      <c r="CD44" s="1">
        <f t="shared" si="27"/>
        <v>0</v>
      </c>
      <c r="CE44" s="1">
        <f t="shared" si="27"/>
        <v>0</v>
      </c>
      <c r="CF44" s="1">
        <f t="shared" si="27"/>
        <v>0</v>
      </c>
      <c r="CG44" s="1">
        <f t="shared" si="27"/>
        <v>0</v>
      </c>
      <c r="CH44" s="1">
        <f t="shared" si="27"/>
        <v>0</v>
      </c>
      <c r="CI44" s="1">
        <f t="shared" si="27"/>
        <v>0</v>
      </c>
      <c r="CJ44" s="1">
        <f t="shared" si="27"/>
        <v>0</v>
      </c>
      <c r="CK44" s="1">
        <f t="shared" si="27"/>
        <v>0</v>
      </c>
      <c r="CL44" s="1">
        <f t="shared" si="27"/>
        <v>0</v>
      </c>
      <c r="CM44" s="1">
        <f t="shared" si="37"/>
        <v>0</v>
      </c>
      <c r="CN44" s="1">
        <f t="shared" si="37"/>
        <v>0</v>
      </c>
      <c r="CO44" s="1">
        <f t="shared" si="37"/>
        <v>0</v>
      </c>
      <c r="CP44" s="1">
        <f t="shared" si="37"/>
        <v>0</v>
      </c>
      <c r="CQ44" s="1">
        <f t="shared" si="37"/>
        <v>0</v>
      </c>
      <c r="CR44" s="1">
        <f t="shared" si="37"/>
        <v>0</v>
      </c>
      <c r="CS44" s="1">
        <f t="shared" si="37"/>
        <v>0</v>
      </c>
      <c r="CT44" s="1">
        <f t="shared" si="37"/>
        <v>0</v>
      </c>
      <c r="CU44" s="1">
        <f t="shared" si="37"/>
        <v>0</v>
      </c>
      <c r="CV44" s="1">
        <f t="shared" si="37"/>
        <v>0</v>
      </c>
      <c r="CW44" s="1">
        <f t="shared" si="37"/>
        <v>0</v>
      </c>
      <c r="CX44" s="1">
        <f t="shared" si="37"/>
        <v>0</v>
      </c>
      <c r="CY44" s="1">
        <f t="shared" si="37"/>
        <v>0</v>
      </c>
      <c r="CZ44" s="1">
        <f t="shared" si="37"/>
        <v>0</v>
      </c>
      <c r="DA44" s="1">
        <f t="shared" si="37"/>
        <v>0</v>
      </c>
      <c r="DB44" s="1">
        <f t="shared" si="37"/>
        <v>0</v>
      </c>
      <c r="DC44" s="1">
        <f t="shared" si="28"/>
        <v>0</v>
      </c>
      <c r="DD44" s="1">
        <f t="shared" si="28"/>
        <v>0</v>
      </c>
    </row>
    <row r="45" spans="1:108" x14ac:dyDescent="0.2">
      <c r="A45">
        <v>800</v>
      </c>
      <c r="B45" s="1">
        <f t="shared" si="38"/>
        <v>7.8622314399652424E-6</v>
      </c>
      <c r="C45" s="3">
        <f t="shared" si="29"/>
        <v>9.3781809298106376E-7</v>
      </c>
      <c r="D45" s="5">
        <f t="shared" si="30"/>
        <v>16.033208342297925</v>
      </c>
      <c r="F45" s="1">
        <f t="shared" si="31"/>
        <v>7.8622314399652424E-6</v>
      </c>
      <c r="G45" s="4">
        <f t="shared" si="32"/>
        <v>133.56386707522782</v>
      </c>
      <c r="H45" s="4">
        <f t="shared" si="32"/>
        <v>120.96744854151196</v>
      </c>
      <c r="I45" s="4">
        <f t="shared" si="32"/>
        <v>110.5422047453861</v>
      </c>
      <c r="J45" s="4">
        <f t="shared" si="32"/>
        <v>101.77132553034933</v>
      </c>
      <c r="K45" s="4">
        <f t="shared" si="32"/>
        <v>94.289966620232008</v>
      </c>
      <c r="L45" s="4">
        <f t="shared" si="32"/>
        <v>87.83321834423586</v>
      </c>
      <c r="M45" s="4">
        <f t="shared" si="32"/>
        <v>82.20408213167066</v>
      </c>
      <c r="N45" s="4">
        <f t="shared" si="32"/>
        <v>77.253019452559101</v>
      </c>
      <c r="O45" s="4">
        <f t="shared" si="32"/>
        <v>72.864471395061898</v>
      </c>
      <c r="P45" s="4">
        <f t="shared" si="32"/>
        <v>68.94772599006987</v>
      </c>
      <c r="Q45" s="4">
        <f t="shared" si="32"/>
        <v>0</v>
      </c>
      <c r="R45" s="4">
        <f t="shared" si="32"/>
        <v>0</v>
      </c>
      <c r="S45" s="4">
        <f t="shared" si="32"/>
        <v>0</v>
      </c>
      <c r="T45" s="4">
        <f t="shared" si="32"/>
        <v>0</v>
      </c>
      <c r="U45" s="4">
        <f t="shared" si="32"/>
        <v>0</v>
      </c>
      <c r="V45" s="4">
        <f t="shared" si="32"/>
        <v>0</v>
      </c>
      <c r="W45" s="4">
        <f t="shared" si="26"/>
        <v>0</v>
      </c>
      <c r="X45" s="4">
        <f t="shared" si="26"/>
        <v>0</v>
      </c>
      <c r="Y45" s="4">
        <f t="shared" si="26"/>
        <v>0</v>
      </c>
      <c r="Z45" s="4">
        <f t="shared" si="26"/>
        <v>0</v>
      </c>
      <c r="AA45" s="4">
        <f t="shared" si="26"/>
        <v>0</v>
      </c>
      <c r="AB45" s="4">
        <f t="shared" si="26"/>
        <v>0</v>
      </c>
      <c r="AC45" s="4">
        <f t="shared" si="26"/>
        <v>0</v>
      </c>
      <c r="AD45" s="4">
        <f t="shared" si="26"/>
        <v>0</v>
      </c>
      <c r="AE45" s="4">
        <f t="shared" si="26"/>
        <v>0</v>
      </c>
      <c r="AF45" s="4">
        <f t="shared" si="26"/>
        <v>0</v>
      </c>
      <c r="AG45" s="4">
        <f t="shared" si="26"/>
        <v>0</v>
      </c>
      <c r="AH45" s="4">
        <f t="shared" si="26"/>
        <v>0</v>
      </c>
      <c r="AI45" s="4">
        <f t="shared" si="26"/>
        <v>0</v>
      </c>
      <c r="AJ45" s="4">
        <f t="shared" si="26"/>
        <v>0</v>
      </c>
      <c r="AK45" s="4">
        <f t="shared" si="26"/>
        <v>0</v>
      </c>
      <c r="AL45" s="4">
        <f t="shared" si="33"/>
        <v>0</v>
      </c>
      <c r="AM45" s="4">
        <f t="shared" si="33"/>
        <v>0</v>
      </c>
      <c r="AN45" s="4">
        <f t="shared" si="33"/>
        <v>0</v>
      </c>
      <c r="AO45" s="4">
        <f t="shared" si="33"/>
        <v>0</v>
      </c>
      <c r="AP45" s="4">
        <f t="shared" si="33"/>
        <v>0</v>
      </c>
      <c r="AQ45" s="4">
        <f t="shared" si="33"/>
        <v>0</v>
      </c>
      <c r="AR45" s="4">
        <f t="shared" si="33"/>
        <v>0</v>
      </c>
      <c r="AS45" s="4">
        <f t="shared" si="33"/>
        <v>0</v>
      </c>
      <c r="AT45" s="4">
        <f t="shared" si="33"/>
        <v>0</v>
      </c>
      <c r="AU45" s="4">
        <f t="shared" si="33"/>
        <v>0</v>
      </c>
      <c r="AV45" s="4">
        <f t="shared" si="33"/>
        <v>0</v>
      </c>
      <c r="AW45" s="4">
        <f t="shared" si="33"/>
        <v>0</v>
      </c>
      <c r="AX45" s="4">
        <f t="shared" si="33"/>
        <v>0</v>
      </c>
      <c r="AY45" s="4">
        <f t="shared" si="34"/>
        <v>0</v>
      </c>
      <c r="AZ45" s="4">
        <f t="shared" si="34"/>
        <v>0</v>
      </c>
      <c r="BA45" s="4">
        <f t="shared" si="34"/>
        <v>0</v>
      </c>
      <c r="BB45" s="4">
        <f t="shared" si="34"/>
        <v>0</v>
      </c>
      <c r="BC45" s="4">
        <f t="shared" si="34"/>
        <v>0</v>
      </c>
      <c r="BD45" s="4">
        <f t="shared" si="34"/>
        <v>0</v>
      </c>
      <c r="BF45" s="2">
        <f t="shared" si="35"/>
        <v>800</v>
      </c>
      <c r="BG45" s="1">
        <f t="shared" si="39"/>
        <v>0</v>
      </c>
      <c r="BH45" s="1">
        <f t="shared" si="36"/>
        <v>0</v>
      </c>
      <c r="BI45" s="1">
        <f t="shared" si="36"/>
        <v>0</v>
      </c>
      <c r="BJ45" s="1">
        <f t="shared" si="36"/>
        <v>0</v>
      </c>
      <c r="BK45" s="1">
        <f t="shared" si="36"/>
        <v>0</v>
      </c>
      <c r="BL45" s="1">
        <f t="shared" si="36"/>
        <v>0</v>
      </c>
      <c r="BM45" s="1">
        <f t="shared" si="36"/>
        <v>0</v>
      </c>
      <c r="BN45" s="1">
        <f t="shared" si="36"/>
        <v>0</v>
      </c>
      <c r="BO45" s="1">
        <f t="shared" si="36"/>
        <v>0</v>
      </c>
      <c r="BP45" s="1">
        <f t="shared" si="36"/>
        <v>0</v>
      </c>
      <c r="BQ45" s="1">
        <f t="shared" si="36"/>
        <v>0</v>
      </c>
      <c r="BR45" s="1">
        <f t="shared" si="36"/>
        <v>0</v>
      </c>
      <c r="BS45" s="1">
        <f t="shared" si="36"/>
        <v>0</v>
      </c>
      <c r="BT45" s="1">
        <f t="shared" si="36"/>
        <v>0</v>
      </c>
      <c r="BU45" s="1">
        <f t="shared" si="36"/>
        <v>0</v>
      </c>
      <c r="BV45" s="1">
        <f t="shared" si="36"/>
        <v>0</v>
      </c>
      <c r="BW45" s="1">
        <f t="shared" si="36"/>
        <v>0</v>
      </c>
      <c r="BX45" s="1">
        <f t="shared" si="27"/>
        <v>0</v>
      </c>
      <c r="BY45" s="1">
        <f t="shared" si="27"/>
        <v>0</v>
      </c>
      <c r="BZ45" s="1">
        <f t="shared" si="27"/>
        <v>0</v>
      </c>
      <c r="CA45" s="1">
        <f t="shared" si="27"/>
        <v>0</v>
      </c>
      <c r="CB45" s="1">
        <f t="shared" si="27"/>
        <v>0</v>
      </c>
      <c r="CC45" s="1">
        <f t="shared" si="27"/>
        <v>0</v>
      </c>
      <c r="CD45" s="1">
        <f t="shared" si="27"/>
        <v>0</v>
      </c>
      <c r="CE45" s="1">
        <f t="shared" si="27"/>
        <v>0</v>
      </c>
      <c r="CF45" s="1">
        <f t="shared" si="27"/>
        <v>0</v>
      </c>
      <c r="CG45" s="1">
        <f t="shared" si="27"/>
        <v>0</v>
      </c>
      <c r="CH45" s="1">
        <f t="shared" si="27"/>
        <v>0</v>
      </c>
      <c r="CI45" s="1">
        <f t="shared" si="27"/>
        <v>0</v>
      </c>
      <c r="CJ45" s="1">
        <f t="shared" si="27"/>
        <v>0</v>
      </c>
      <c r="CK45" s="1">
        <f t="shared" si="27"/>
        <v>0</v>
      </c>
      <c r="CL45" s="1">
        <f t="shared" si="27"/>
        <v>0</v>
      </c>
      <c r="CM45" s="1">
        <f t="shared" si="37"/>
        <v>0</v>
      </c>
      <c r="CN45" s="1">
        <f t="shared" si="37"/>
        <v>0</v>
      </c>
      <c r="CO45" s="1">
        <f t="shared" si="37"/>
        <v>0</v>
      </c>
      <c r="CP45" s="1">
        <f t="shared" si="37"/>
        <v>0</v>
      </c>
      <c r="CQ45" s="1">
        <f t="shared" si="37"/>
        <v>0</v>
      </c>
      <c r="CR45" s="1">
        <f t="shared" si="37"/>
        <v>0</v>
      </c>
      <c r="CS45" s="1">
        <f t="shared" si="37"/>
        <v>0</v>
      </c>
      <c r="CT45" s="1">
        <f t="shared" si="37"/>
        <v>0</v>
      </c>
      <c r="CU45" s="1">
        <f t="shared" si="37"/>
        <v>0</v>
      </c>
      <c r="CV45" s="1">
        <f t="shared" si="37"/>
        <v>0</v>
      </c>
      <c r="CW45" s="1">
        <f t="shared" si="37"/>
        <v>0</v>
      </c>
      <c r="CX45" s="1">
        <f t="shared" si="37"/>
        <v>0</v>
      </c>
      <c r="CY45" s="1">
        <f t="shared" si="37"/>
        <v>0</v>
      </c>
      <c r="CZ45" s="1">
        <f t="shared" si="37"/>
        <v>0</v>
      </c>
      <c r="DA45" s="1">
        <f t="shared" si="37"/>
        <v>0</v>
      </c>
      <c r="DB45" s="1">
        <f t="shared" si="37"/>
        <v>0</v>
      </c>
      <c r="DC45" s="1">
        <f t="shared" si="28"/>
        <v>0</v>
      </c>
      <c r="DD45" s="1">
        <f t="shared" si="28"/>
        <v>0</v>
      </c>
    </row>
    <row r="46" spans="1:108" x14ac:dyDescent="0.2">
      <c r="A46">
        <v>850</v>
      </c>
      <c r="B46" s="1">
        <f t="shared" si="38"/>
        <v>6.9244133469841787E-6</v>
      </c>
      <c r="C46" s="3">
        <f t="shared" si="29"/>
        <v>8.2595382362720683E-7</v>
      </c>
      <c r="D46" s="5">
        <f t="shared" si="30"/>
        <v>16.426723928468881</v>
      </c>
      <c r="F46" s="1">
        <f t="shared" si="31"/>
        <v>6.9244133469841787E-6</v>
      </c>
      <c r="G46" s="4">
        <f t="shared" si="32"/>
        <v>144.80130372941375</v>
      </c>
      <c r="H46" s="4">
        <f t="shared" si="32"/>
        <v>131.19557592116726</v>
      </c>
      <c r="I46" s="4">
        <f t="shared" si="32"/>
        <v>119.92706543711621</v>
      </c>
      <c r="J46" s="4">
        <f t="shared" si="32"/>
        <v>110.44117023152897</v>
      </c>
      <c r="K46" s="4">
        <f t="shared" si="32"/>
        <v>102.34589629609128</v>
      </c>
      <c r="L46" s="4">
        <f t="shared" si="32"/>
        <v>95.356332263634428</v>
      </c>
      <c r="M46" s="4">
        <f t="shared" si="32"/>
        <v>89.260421675668724</v>
      </c>
      <c r="N46" s="4">
        <f t="shared" si="32"/>
        <v>83.897074998603003</v>
      </c>
      <c r="O46" s="4">
        <f t="shared" si="32"/>
        <v>79.141725404704829</v>
      </c>
      <c r="P46" s="4">
        <f t="shared" si="32"/>
        <v>74.896533313303209</v>
      </c>
      <c r="Q46" s="4">
        <f t="shared" si="32"/>
        <v>0</v>
      </c>
      <c r="R46" s="4">
        <f t="shared" si="32"/>
        <v>0</v>
      </c>
      <c r="S46" s="4">
        <f t="shared" si="32"/>
        <v>0</v>
      </c>
      <c r="T46" s="4">
        <f t="shared" si="32"/>
        <v>0</v>
      </c>
      <c r="U46" s="4">
        <f t="shared" si="32"/>
        <v>0</v>
      </c>
      <c r="V46" s="4">
        <f t="shared" si="32"/>
        <v>0</v>
      </c>
      <c r="W46" s="4">
        <f t="shared" si="26"/>
        <v>0</v>
      </c>
      <c r="X46" s="4">
        <f t="shared" si="26"/>
        <v>0</v>
      </c>
      <c r="Y46" s="4">
        <f t="shared" si="26"/>
        <v>0</v>
      </c>
      <c r="Z46" s="4">
        <f t="shared" si="26"/>
        <v>0</v>
      </c>
      <c r="AA46" s="4">
        <f t="shared" si="26"/>
        <v>0</v>
      </c>
      <c r="AB46" s="4">
        <f t="shared" si="26"/>
        <v>0</v>
      </c>
      <c r="AC46" s="4">
        <f t="shared" si="26"/>
        <v>0</v>
      </c>
      <c r="AD46" s="4">
        <f t="shared" si="26"/>
        <v>0</v>
      </c>
      <c r="AE46" s="4">
        <f t="shared" si="26"/>
        <v>0</v>
      </c>
      <c r="AF46" s="4">
        <f t="shared" si="26"/>
        <v>0</v>
      </c>
      <c r="AG46" s="4">
        <f t="shared" si="26"/>
        <v>0</v>
      </c>
      <c r="AH46" s="4">
        <f t="shared" si="26"/>
        <v>0</v>
      </c>
      <c r="AI46" s="4">
        <f t="shared" si="26"/>
        <v>0</v>
      </c>
      <c r="AJ46" s="4">
        <f t="shared" si="26"/>
        <v>0</v>
      </c>
      <c r="AK46" s="4">
        <f t="shared" si="26"/>
        <v>0</v>
      </c>
      <c r="AL46" s="4">
        <f t="shared" si="33"/>
        <v>0</v>
      </c>
      <c r="AM46" s="4">
        <f t="shared" si="33"/>
        <v>0</v>
      </c>
      <c r="AN46" s="4">
        <f t="shared" si="33"/>
        <v>0</v>
      </c>
      <c r="AO46" s="4">
        <f t="shared" si="33"/>
        <v>0</v>
      </c>
      <c r="AP46" s="4">
        <f t="shared" si="33"/>
        <v>0</v>
      </c>
      <c r="AQ46" s="4">
        <f t="shared" si="33"/>
        <v>0</v>
      </c>
      <c r="AR46" s="4">
        <f t="shared" si="33"/>
        <v>0</v>
      </c>
      <c r="AS46" s="4">
        <f t="shared" si="33"/>
        <v>0</v>
      </c>
      <c r="AT46" s="4">
        <f t="shared" si="33"/>
        <v>0</v>
      </c>
      <c r="AU46" s="4">
        <f t="shared" si="33"/>
        <v>0</v>
      </c>
      <c r="AV46" s="4">
        <f t="shared" si="33"/>
        <v>0</v>
      </c>
      <c r="AW46" s="4">
        <f t="shared" si="33"/>
        <v>0</v>
      </c>
      <c r="AX46" s="4">
        <f t="shared" si="33"/>
        <v>0</v>
      </c>
      <c r="AY46" s="4">
        <f t="shared" si="34"/>
        <v>0</v>
      </c>
      <c r="AZ46" s="4">
        <f t="shared" si="34"/>
        <v>0</v>
      </c>
      <c r="BA46" s="4">
        <f t="shared" si="34"/>
        <v>0</v>
      </c>
      <c r="BB46" s="4">
        <f t="shared" si="34"/>
        <v>0</v>
      </c>
      <c r="BC46" s="4">
        <f t="shared" si="34"/>
        <v>0</v>
      </c>
      <c r="BD46" s="4">
        <f t="shared" si="34"/>
        <v>0</v>
      </c>
      <c r="BF46" s="2">
        <f t="shared" si="35"/>
        <v>850</v>
      </c>
      <c r="BG46" s="1">
        <f t="shared" si="39"/>
        <v>0</v>
      </c>
      <c r="BH46" s="1">
        <f t="shared" si="36"/>
        <v>0</v>
      </c>
      <c r="BI46" s="1">
        <f t="shared" si="36"/>
        <v>0</v>
      </c>
      <c r="BJ46" s="1">
        <f t="shared" si="36"/>
        <v>0</v>
      </c>
      <c r="BK46" s="1">
        <f t="shared" si="36"/>
        <v>0</v>
      </c>
      <c r="BL46" s="1">
        <f t="shared" si="36"/>
        <v>0</v>
      </c>
      <c r="BM46" s="1">
        <f t="shared" si="36"/>
        <v>0</v>
      </c>
      <c r="BN46" s="1">
        <f t="shared" si="36"/>
        <v>0</v>
      </c>
      <c r="BO46" s="1">
        <f t="shared" si="36"/>
        <v>0</v>
      </c>
      <c r="BP46" s="1">
        <f t="shared" si="36"/>
        <v>0</v>
      </c>
      <c r="BQ46" s="1">
        <f t="shared" si="36"/>
        <v>0</v>
      </c>
      <c r="BR46" s="1">
        <f t="shared" si="36"/>
        <v>0</v>
      </c>
      <c r="BS46" s="1">
        <f t="shared" si="36"/>
        <v>0</v>
      </c>
      <c r="BT46" s="1">
        <f t="shared" si="36"/>
        <v>0</v>
      </c>
      <c r="BU46" s="1">
        <f t="shared" si="36"/>
        <v>0</v>
      </c>
      <c r="BV46" s="1">
        <f t="shared" si="36"/>
        <v>0</v>
      </c>
      <c r="BW46" s="1">
        <f t="shared" si="36"/>
        <v>0</v>
      </c>
      <c r="BX46" s="1">
        <f t="shared" si="27"/>
        <v>0</v>
      </c>
      <c r="BY46" s="1">
        <f t="shared" si="27"/>
        <v>0</v>
      </c>
      <c r="BZ46" s="1">
        <f t="shared" si="27"/>
        <v>0</v>
      </c>
      <c r="CA46" s="1">
        <f t="shared" si="27"/>
        <v>0</v>
      </c>
      <c r="CB46" s="1">
        <f t="shared" si="27"/>
        <v>0</v>
      </c>
      <c r="CC46" s="1">
        <f t="shared" si="27"/>
        <v>0</v>
      </c>
      <c r="CD46" s="1">
        <f t="shared" si="27"/>
        <v>0</v>
      </c>
      <c r="CE46" s="1">
        <f t="shared" si="27"/>
        <v>0</v>
      </c>
      <c r="CF46" s="1">
        <f t="shared" si="27"/>
        <v>0</v>
      </c>
      <c r="CG46" s="1">
        <f t="shared" si="27"/>
        <v>0</v>
      </c>
      <c r="CH46" s="1">
        <f t="shared" si="27"/>
        <v>0</v>
      </c>
      <c r="CI46" s="1">
        <f t="shared" si="27"/>
        <v>0</v>
      </c>
      <c r="CJ46" s="1">
        <f t="shared" si="27"/>
        <v>0</v>
      </c>
      <c r="CK46" s="1">
        <f t="shared" si="27"/>
        <v>0</v>
      </c>
      <c r="CL46" s="1">
        <f t="shared" si="27"/>
        <v>0</v>
      </c>
      <c r="CM46" s="1">
        <f t="shared" si="37"/>
        <v>0</v>
      </c>
      <c r="CN46" s="1">
        <f t="shared" si="37"/>
        <v>0</v>
      </c>
      <c r="CO46" s="1">
        <f t="shared" si="37"/>
        <v>0</v>
      </c>
      <c r="CP46" s="1">
        <f t="shared" si="37"/>
        <v>0</v>
      </c>
      <c r="CQ46" s="1">
        <f t="shared" si="37"/>
        <v>0</v>
      </c>
      <c r="CR46" s="1">
        <f t="shared" si="37"/>
        <v>0</v>
      </c>
      <c r="CS46" s="1">
        <f t="shared" si="37"/>
        <v>0</v>
      </c>
      <c r="CT46" s="1">
        <f t="shared" si="37"/>
        <v>0</v>
      </c>
      <c r="CU46" s="1">
        <f t="shared" si="37"/>
        <v>0</v>
      </c>
      <c r="CV46" s="1">
        <f t="shared" si="37"/>
        <v>0</v>
      </c>
      <c r="CW46" s="1">
        <f t="shared" si="37"/>
        <v>0</v>
      </c>
      <c r="CX46" s="1">
        <f t="shared" si="37"/>
        <v>0</v>
      </c>
      <c r="CY46" s="1">
        <f t="shared" si="37"/>
        <v>0</v>
      </c>
      <c r="CZ46" s="1">
        <f t="shared" si="37"/>
        <v>0</v>
      </c>
      <c r="DA46" s="1">
        <f t="shared" si="37"/>
        <v>0</v>
      </c>
      <c r="DB46" s="1">
        <f t="shared" si="37"/>
        <v>0</v>
      </c>
      <c r="DC46" s="1">
        <f t="shared" si="28"/>
        <v>0</v>
      </c>
      <c r="DD46" s="1">
        <f t="shared" si="28"/>
        <v>0</v>
      </c>
    </row>
    <row r="47" spans="1:108" x14ac:dyDescent="0.2">
      <c r="A47">
        <v>900</v>
      </c>
      <c r="B47" s="1">
        <f t="shared" si="38"/>
        <v>6.0984595233569718E-6</v>
      </c>
      <c r="C47" s="3">
        <f t="shared" si="29"/>
        <v>7.2743288263492454E-7</v>
      </c>
      <c r="D47" s="5">
        <f t="shared" si="30"/>
        <v>16.806582004372338</v>
      </c>
      <c r="F47" s="1">
        <f t="shared" si="31"/>
        <v>6.0984595233569718E-6</v>
      </c>
      <c r="G47" s="4">
        <f t="shared" si="32"/>
        <v>156.24891914117919</v>
      </c>
      <c r="H47" s="4">
        <f t="shared" si="32"/>
        <v>141.61977211587856</v>
      </c>
      <c r="I47" s="4">
        <f t="shared" si="32"/>
        <v>129.49547486432664</v>
      </c>
      <c r="J47" s="4">
        <f t="shared" si="32"/>
        <v>119.28342807484202</v>
      </c>
      <c r="K47" s="4">
        <f t="shared" si="32"/>
        <v>110.56429875173463</v>
      </c>
      <c r="L47" s="4">
        <f t="shared" si="32"/>
        <v>103.03300844838557</v>
      </c>
      <c r="M47" s="4">
        <f t="shared" si="32"/>
        <v>96.462301585741713</v>
      </c>
      <c r="N47" s="4">
        <f t="shared" si="32"/>
        <v>90.679418175109092</v>
      </c>
      <c r="O47" s="4">
        <f t="shared" si="32"/>
        <v>85.550682743027338</v>
      </c>
      <c r="P47" s="4">
        <f t="shared" si="32"/>
        <v>80.527799650867394</v>
      </c>
      <c r="Q47" s="4">
        <f t="shared" si="32"/>
        <v>0</v>
      </c>
      <c r="R47" s="4">
        <f t="shared" si="32"/>
        <v>0</v>
      </c>
      <c r="S47" s="4">
        <f t="shared" si="32"/>
        <v>0</v>
      </c>
      <c r="T47" s="4">
        <f t="shared" si="32"/>
        <v>0</v>
      </c>
      <c r="U47" s="4">
        <f t="shared" si="32"/>
        <v>0</v>
      </c>
      <c r="V47" s="4">
        <f t="shared" si="32"/>
        <v>0</v>
      </c>
      <c r="W47" s="4">
        <f t="shared" si="26"/>
        <v>0</v>
      </c>
      <c r="X47" s="4">
        <f t="shared" si="26"/>
        <v>0</v>
      </c>
      <c r="Y47" s="4">
        <f t="shared" si="26"/>
        <v>0</v>
      </c>
      <c r="Z47" s="4">
        <f t="shared" si="26"/>
        <v>0</v>
      </c>
      <c r="AA47" s="4">
        <f t="shared" si="26"/>
        <v>0</v>
      </c>
      <c r="AB47" s="4">
        <f t="shared" si="26"/>
        <v>0</v>
      </c>
      <c r="AC47" s="4">
        <f t="shared" si="26"/>
        <v>0</v>
      </c>
      <c r="AD47" s="4">
        <f t="shared" si="26"/>
        <v>0</v>
      </c>
      <c r="AE47" s="4">
        <f t="shared" si="26"/>
        <v>0</v>
      </c>
      <c r="AF47" s="4">
        <f t="shared" si="26"/>
        <v>0</v>
      </c>
      <c r="AG47" s="4">
        <f t="shared" si="26"/>
        <v>0</v>
      </c>
      <c r="AH47" s="4">
        <f t="shared" si="26"/>
        <v>0</v>
      </c>
      <c r="AI47" s="4">
        <f t="shared" si="26"/>
        <v>0</v>
      </c>
      <c r="AJ47" s="4">
        <f t="shared" si="26"/>
        <v>0</v>
      </c>
      <c r="AK47" s="4">
        <f t="shared" si="26"/>
        <v>0</v>
      </c>
      <c r="AL47" s="4">
        <f t="shared" si="33"/>
        <v>0</v>
      </c>
      <c r="AM47" s="4">
        <f t="shared" si="33"/>
        <v>0</v>
      </c>
      <c r="AN47" s="4">
        <f t="shared" si="33"/>
        <v>0</v>
      </c>
      <c r="AO47" s="4">
        <f t="shared" si="33"/>
        <v>0</v>
      </c>
      <c r="AP47" s="4">
        <f t="shared" si="33"/>
        <v>0</v>
      </c>
      <c r="AQ47" s="4">
        <f t="shared" si="33"/>
        <v>0</v>
      </c>
      <c r="AR47" s="4">
        <f t="shared" si="33"/>
        <v>0</v>
      </c>
      <c r="AS47" s="4">
        <f t="shared" si="33"/>
        <v>0</v>
      </c>
      <c r="AT47" s="4">
        <f t="shared" si="33"/>
        <v>0</v>
      </c>
      <c r="AU47" s="4">
        <f t="shared" si="33"/>
        <v>0</v>
      </c>
      <c r="AV47" s="4">
        <f t="shared" si="33"/>
        <v>0</v>
      </c>
      <c r="AW47" s="4">
        <f t="shared" si="33"/>
        <v>0</v>
      </c>
      <c r="AX47" s="4">
        <f t="shared" si="33"/>
        <v>0</v>
      </c>
      <c r="AY47" s="4">
        <f t="shared" si="34"/>
        <v>0</v>
      </c>
      <c r="AZ47" s="4">
        <f t="shared" si="34"/>
        <v>0</v>
      </c>
      <c r="BA47" s="4">
        <f t="shared" si="34"/>
        <v>0</v>
      </c>
      <c r="BB47" s="4">
        <f t="shared" si="34"/>
        <v>0</v>
      </c>
      <c r="BC47" s="4">
        <f t="shared" si="34"/>
        <v>0</v>
      </c>
      <c r="BD47" s="4">
        <f t="shared" si="34"/>
        <v>0</v>
      </c>
      <c r="BF47" s="2">
        <f t="shared" si="35"/>
        <v>900</v>
      </c>
      <c r="BG47" s="1">
        <f t="shared" si="39"/>
        <v>0</v>
      </c>
      <c r="BH47" s="1">
        <f t="shared" si="36"/>
        <v>0</v>
      </c>
      <c r="BI47" s="1">
        <f t="shared" si="36"/>
        <v>0</v>
      </c>
      <c r="BJ47" s="1">
        <f t="shared" si="36"/>
        <v>0</v>
      </c>
      <c r="BK47" s="1">
        <f t="shared" si="36"/>
        <v>0</v>
      </c>
      <c r="BL47" s="1">
        <f t="shared" si="36"/>
        <v>0</v>
      </c>
      <c r="BM47" s="1">
        <f t="shared" si="36"/>
        <v>0</v>
      </c>
      <c r="BN47" s="1">
        <f t="shared" si="36"/>
        <v>0</v>
      </c>
      <c r="BO47" s="1">
        <f t="shared" si="36"/>
        <v>0</v>
      </c>
      <c r="BP47" s="1">
        <f t="shared" si="36"/>
        <v>0</v>
      </c>
      <c r="BQ47" s="1">
        <f t="shared" si="36"/>
        <v>0</v>
      </c>
      <c r="BR47" s="1">
        <f t="shared" si="36"/>
        <v>0</v>
      </c>
      <c r="BS47" s="1">
        <f t="shared" si="36"/>
        <v>0</v>
      </c>
      <c r="BT47" s="1">
        <f t="shared" si="36"/>
        <v>0</v>
      </c>
      <c r="BU47" s="1">
        <f t="shared" si="36"/>
        <v>0</v>
      </c>
      <c r="BV47" s="1">
        <f t="shared" si="36"/>
        <v>0</v>
      </c>
      <c r="BW47" s="1">
        <f t="shared" si="36"/>
        <v>0</v>
      </c>
      <c r="BX47" s="1">
        <f t="shared" si="27"/>
        <v>0</v>
      </c>
      <c r="BY47" s="1">
        <f t="shared" si="27"/>
        <v>0</v>
      </c>
      <c r="BZ47" s="1">
        <f t="shared" si="27"/>
        <v>0</v>
      </c>
      <c r="CA47" s="1">
        <f t="shared" si="27"/>
        <v>0</v>
      </c>
      <c r="CB47" s="1">
        <f t="shared" si="27"/>
        <v>0</v>
      </c>
      <c r="CC47" s="1">
        <f t="shared" si="27"/>
        <v>0</v>
      </c>
      <c r="CD47" s="1">
        <f t="shared" si="27"/>
        <v>0</v>
      </c>
      <c r="CE47" s="1">
        <f t="shared" si="27"/>
        <v>0</v>
      </c>
      <c r="CF47" s="1">
        <f t="shared" si="27"/>
        <v>0</v>
      </c>
      <c r="CG47" s="1">
        <f t="shared" si="27"/>
        <v>0</v>
      </c>
      <c r="CH47" s="1">
        <f t="shared" si="27"/>
        <v>0</v>
      </c>
      <c r="CI47" s="1">
        <f t="shared" si="27"/>
        <v>0</v>
      </c>
      <c r="CJ47" s="1">
        <f t="shared" si="27"/>
        <v>0</v>
      </c>
      <c r="CK47" s="1">
        <f t="shared" si="27"/>
        <v>0</v>
      </c>
      <c r="CL47" s="1">
        <f t="shared" si="27"/>
        <v>0</v>
      </c>
      <c r="CM47" s="1">
        <f t="shared" si="37"/>
        <v>0</v>
      </c>
      <c r="CN47" s="1">
        <f t="shared" si="37"/>
        <v>0</v>
      </c>
      <c r="CO47" s="1">
        <f t="shared" si="37"/>
        <v>0</v>
      </c>
      <c r="CP47" s="1">
        <f t="shared" si="37"/>
        <v>0</v>
      </c>
      <c r="CQ47" s="1">
        <f t="shared" si="37"/>
        <v>0</v>
      </c>
      <c r="CR47" s="1">
        <f t="shared" si="37"/>
        <v>0</v>
      </c>
      <c r="CS47" s="1">
        <f t="shared" si="37"/>
        <v>0</v>
      </c>
      <c r="CT47" s="1">
        <f t="shared" si="37"/>
        <v>0</v>
      </c>
      <c r="CU47" s="1">
        <f t="shared" si="37"/>
        <v>0</v>
      </c>
      <c r="CV47" s="1">
        <f t="shared" si="37"/>
        <v>0</v>
      </c>
      <c r="CW47" s="1">
        <f t="shared" si="37"/>
        <v>0</v>
      </c>
      <c r="CX47" s="1">
        <f t="shared" si="37"/>
        <v>0</v>
      </c>
      <c r="CY47" s="1">
        <f t="shared" si="37"/>
        <v>0</v>
      </c>
      <c r="CZ47" s="1">
        <f t="shared" si="37"/>
        <v>0</v>
      </c>
      <c r="DA47" s="1">
        <f t="shared" si="37"/>
        <v>0</v>
      </c>
      <c r="DB47" s="1">
        <f t="shared" si="37"/>
        <v>0</v>
      </c>
      <c r="DC47" s="1">
        <f t="shared" si="28"/>
        <v>0</v>
      </c>
      <c r="DD47" s="1">
        <f t="shared" si="28"/>
        <v>0</v>
      </c>
    </row>
    <row r="48" spans="1:108" x14ac:dyDescent="0.2">
      <c r="A48">
        <v>950</v>
      </c>
      <c r="B48" s="1">
        <f t="shared" si="38"/>
        <v>5.3710266407220473E-6</v>
      </c>
      <c r="C48" s="3">
        <f t="shared" si="29"/>
        <v>6.4066365891343499E-7</v>
      </c>
      <c r="D48" s="5">
        <f t="shared" si="30"/>
        <v>17.173977832238251</v>
      </c>
      <c r="F48" s="1">
        <f t="shared" si="31"/>
        <v>5.3710266407220473E-6</v>
      </c>
      <c r="G48" s="4">
        <f t="shared" si="32"/>
        <v>167.89761317369488</v>
      </c>
      <c r="H48" s="4">
        <f t="shared" si="32"/>
        <v>152.23171958929242</v>
      </c>
      <c r="I48" s="4">
        <f t="shared" si="32"/>
        <v>139.23978038865803</v>
      </c>
      <c r="J48" s="4">
        <f t="shared" si="32"/>
        <v>128.29101691030428</v>
      </c>
      <c r="K48" s="4">
        <f t="shared" si="32"/>
        <v>118.93858586341851</v>
      </c>
      <c r="L48" s="4">
        <f t="shared" si="32"/>
        <v>110.85709023387217</v>
      </c>
      <c r="M48" s="4">
        <f t="shared" si="32"/>
        <v>103.80394493826878</v>
      </c>
      <c r="N48" s="4">
        <f t="shared" si="32"/>
        <v>96.924902946885339</v>
      </c>
      <c r="O48" s="4">
        <f t="shared" si="32"/>
        <v>89.459508377275199</v>
      </c>
      <c r="P48" s="4">
        <f t="shared" si="32"/>
        <v>82.976695392725773</v>
      </c>
      <c r="Q48" s="4">
        <f t="shared" si="32"/>
        <v>0</v>
      </c>
      <c r="R48" s="4">
        <f t="shared" si="32"/>
        <v>0</v>
      </c>
      <c r="S48" s="4">
        <f t="shared" si="32"/>
        <v>0</v>
      </c>
      <c r="T48" s="4">
        <f t="shared" si="32"/>
        <v>0</v>
      </c>
      <c r="U48" s="4">
        <f t="shared" si="32"/>
        <v>0</v>
      </c>
      <c r="V48" s="4">
        <f t="shared" si="32"/>
        <v>0</v>
      </c>
      <c r="W48" s="4">
        <f t="shared" si="26"/>
        <v>0</v>
      </c>
      <c r="X48" s="4">
        <f t="shared" si="26"/>
        <v>0</v>
      </c>
      <c r="Y48" s="4">
        <f t="shared" si="26"/>
        <v>0</v>
      </c>
      <c r="Z48" s="4">
        <f t="shared" si="26"/>
        <v>0</v>
      </c>
      <c r="AA48" s="4">
        <f t="shared" si="26"/>
        <v>0</v>
      </c>
      <c r="AB48" s="4">
        <f t="shared" si="26"/>
        <v>0</v>
      </c>
      <c r="AC48" s="4">
        <f t="shared" si="26"/>
        <v>0</v>
      </c>
      <c r="AD48" s="4">
        <f t="shared" si="26"/>
        <v>0</v>
      </c>
      <c r="AE48" s="4">
        <f t="shared" si="26"/>
        <v>0</v>
      </c>
      <c r="AF48" s="4">
        <f t="shared" si="26"/>
        <v>0</v>
      </c>
      <c r="AG48" s="4">
        <f t="shared" si="26"/>
        <v>0</v>
      </c>
      <c r="AH48" s="4">
        <f t="shared" si="26"/>
        <v>0</v>
      </c>
      <c r="AI48" s="4">
        <f t="shared" si="26"/>
        <v>0</v>
      </c>
      <c r="AJ48" s="4">
        <f t="shared" si="26"/>
        <v>0</v>
      </c>
      <c r="AK48" s="4">
        <f t="shared" si="26"/>
        <v>0</v>
      </c>
      <c r="AL48" s="4">
        <f t="shared" si="33"/>
        <v>0</v>
      </c>
      <c r="AM48" s="4">
        <f t="shared" si="33"/>
        <v>0</v>
      </c>
      <c r="AN48" s="4">
        <f t="shared" si="33"/>
        <v>0</v>
      </c>
      <c r="AO48" s="4">
        <f t="shared" si="33"/>
        <v>0</v>
      </c>
      <c r="AP48" s="4">
        <f t="shared" si="33"/>
        <v>0</v>
      </c>
      <c r="AQ48" s="4">
        <f t="shared" si="33"/>
        <v>0</v>
      </c>
      <c r="AR48" s="4">
        <f t="shared" si="33"/>
        <v>0</v>
      </c>
      <c r="AS48" s="4">
        <f t="shared" si="33"/>
        <v>0</v>
      </c>
      <c r="AT48" s="4">
        <f t="shared" si="33"/>
        <v>0</v>
      </c>
      <c r="AU48" s="4">
        <f t="shared" si="33"/>
        <v>0</v>
      </c>
      <c r="AV48" s="4">
        <f t="shared" si="33"/>
        <v>0</v>
      </c>
      <c r="AW48" s="4">
        <f t="shared" si="33"/>
        <v>0</v>
      </c>
      <c r="AX48" s="4">
        <f t="shared" si="33"/>
        <v>0</v>
      </c>
      <c r="AY48" s="4">
        <f t="shared" si="34"/>
        <v>0</v>
      </c>
      <c r="AZ48" s="4">
        <f t="shared" si="34"/>
        <v>0</v>
      </c>
      <c r="BA48" s="4">
        <f t="shared" si="34"/>
        <v>0</v>
      </c>
      <c r="BB48" s="4">
        <f t="shared" si="34"/>
        <v>0</v>
      </c>
      <c r="BC48" s="4">
        <f t="shared" si="34"/>
        <v>0</v>
      </c>
      <c r="BD48" s="4">
        <f t="shared" si="34"/>
        <v>0</v>
      </c>
      <c r="BF48" s="2">
        <f t="shared" si="35"/>
        <v>950</v>
      </c>
      <c r="BG48" s="1">
        <f t="shared" si="39"/>
        <v>0</v>
      </c>
      <c r="BH48" s="1">
        <f t="shared" si="36"/>
        <v>0</v>
      </c>
      <c r="BI48" s="1">
        <f t="shared" si="36"/>
        <v>0</v>
      </c>
      <c r="BJ48" s="1">
        <f t="shared" si="36"/>
        <v>0</v>
      </c>
      <c r="BK48" s="1">
        <f t="shared" si="36"/>
        <v>0</v>
      </c>
      <c r="BL48" s="1">
        <f t="shared" si="36"/>
        <v>0</v>
      </c>
      <c r="BM48" s="1">
        <f t="shared" si="36"/>
        <v>0</v>
      </c>
      <c r="BN48" s="1">
        <f t="shared" si="36"/>
        <v>0</v>
      </c>
      <c r="BO48" s="1">
        <f t="shared" si="36"/>
        <v>0</v>
      </c>
      <c r="BP48" s="1">
        <f t="shared" si="36"/>
        <v>0</v>
      </c>
      <c r="BQ48" s="1">
        <f t="shared" si="36"/>
        <v>0</v>
      </c>
      <c r="BR48" s="1">
        <f t="shared" si="36"/>
        <v>0</v>
      </c>
      <c r="BS48" s="1">
        <f t="shared" si="36"/>
        <v>0</v>
      </c>
      <c r="BT48" s="1">
        <f t="shared" si="36"/>
        <v>0</v>
      </c>
      <c r="BU48" s="1">
        <f t="shared" si="36"/>
        <v>0</v>
      </c>
      <c r="BV48" s="1">
        <f t="shared" si="36"/>
        <v>0</v>
      </c>
      <c r="BW48" s="1">
        <f t="shared" si="36"/>
        <v>0</v>
      </c>
      <c r="BX48" s="1">
        <f t="shared" si="27"/>
        <v>0</v>
      </c>
      <c r="BY48" s="1">
        <f t="shared" si="27"/>
        <v>0</v>
      </c>
      <c r="BZ48" s="1">
        <f t="shared" si="27"/>
        <v>0</v>
      </c>
      <c r="CA48" s="1">
        <f t="shared" si="27"/>
        <v>0</v>
      </c>
      <c r="CB48" s="1">
        <f t="shared" si="27"/>
        <v>0</v>
      </c>
      <c r="CC48" s="1">
        <f t="shared" si="27"/>
        <v>0</v>
      </c>
      <c r="CD48" s="1">
        <f t="shared" si="27"/>
        <v>0</v>
      </c>
      <c r="CE48" s="1">
        <f t="shared" si="27"/>
        <v>0</v>
      </c>
      <c r="CF48" s="1">
        <f t="shared" si="27"/>
        <v>0</v>
      </c>
      <c r="CG48" s="1">
        <f t="shared" si="27"/>
        <v>0</v>
      </c>
      <c r="CH48" s="1">
        <f t="shared" si="27"/>
        <v>0</v>
      </c>
      <c r="CI48" s="1">
        <f t="shared" si="27"/>
        <v>0</v>
      </c>
      <c r="CJ48" s="1">
        <f t="shared" si="27"/>
        <v>0</v>
      </c>
      <c r="CK48" s="1">
        <f t="shared" si="27"/>
        <v>0</v>
      </c>
      <c r="CL48" s="1">
        <f t="shared" si="27"/>
        <v>0</v>
      </c>
      <c r="CM48" s="1">
        <f t="shared" si="37"/>
        <v>0</v>
      </c>
      <c r="CN48" s="1">
        <f t="shared" si="37"/>
        <v>0</v>
      </c>
      <c r="CO48" s="1">
        <f t="shared" si="37"/>
        <v>0</v>
      </c>
      <c r="CP48" s="1">
        <f t="shared" si="37"/>
        <v>0</v>
      </c>
      <c r="CQ48" s="1">
        <f t="shared" si="37"/>
        <v>0</v>
      </c>
      <c r="CR48" s="1">
        <f t="shared" si="37"/>
        <v>0</v>
      </c>
      <c r="CS48" s="1">
        <f t="shared" si="37"/>
        <v>0</v>
      </c>
      <c r="CT48" s="1">
        <f t="shared" si="37"/>
        <v>0</v>
      </c>
      <c r="CU48" s="1">
        <f t="shared" si="37"/>
        <v>0</v>
      </c>
      <c r="CV48" s="1">
        <f t="shared" si="37"/>
        <v>0</v>
      </c>
      <c r="CW48" s="1">
        <f t="shared" si="37"/>
        <v>0</v>
      </c>
      <c r="CX48" s="1">
        <f t="shared" si="37"/>
        <v>0</v>
      </c>
      <c r="CY48" s="1">
        <f t="shared" si="37"/>
        <v>0</v>
      </c>
      <c r="CZ48" s="1">
        <f t="shared" si="37"/>
        <v>0</v>
      </c>
      <c r="DA48" s="1">
        <f t="shared" si="37"/>
        <v>0</v>
      </c>
      <c r="DB48" s="1">
        <f t="shared" si="37"/>
        <v>0</v>
      </c>
      <c r="DC48" s="1">
        <f t="shared" si="28"/>
        <v>0</v>
      </c>
      <c r="DD48" s="1">
        <f t="shared" si="28"/>
        <v>0</v>
      </c>
    </row>
    <row r="49" spans="1:108" x14ac:dyDescent="0.2">
      <c r="A49">
        <v>1000</v>
      </c>
      <c r="B49" s="1">
        <f t="shared" si="38"/>
        <v>4.7303629818086123E-6</v>
      </c>
      <c r="C49" s="3">
        <f t="shared" si="29"/>
        <v>1.0611849125004042E-6</v>
      </c>
      <c r="D49" s="5">
        <f t="shared" si="30"/>
        <v>17.529945456629886</v>
      </c>
      <c r="F49" s="1">
        <f t="shared" si="31"/>
        <v>4.7303629818086123E-6</v>
      </c>
      <c r="G49" s="4">
        <f t="shared" si="32"/>
        <v>179.7391085840932</v>
      </c>
      <c r="H49" s="4">
        <f t="shared" si="32"/>
        <v>163.02384774946481</v>
      </c>
      <c r="I49" s="4">
        <f t="shared" si="32"/>
        <v>149.15301277918712</v>
      </c>
      <c r="J49" s="4">
        <f t="shared" si="32"/>
        <v>137.45748415293906</v>
      </c>
      <c r="K49" s="4">
        <f t="shared" si="32"/>
        <v>127.46275291847591</v>
      </c>
      <c r="L49" s="4">
        <f t="shared" si="32"/>
        <v>118.82296439798556</v>
      </c>
      <c r="M49" s="4">
        <f t="shared" si="32"/>
        <v>108.68491032496527</v>
      </c>
      <c r="N49" s="4">
        <f t="shared" si="32"/>
        <v>99.746031811169487</v>
      </c>
      <c r="O49" s="4">
        <f t="shared" si="32"/>
        <v>92.058919384201474</v>
      </c>
      <c r="P49" s="4">
        <f t="shared" si="32"/>
        <v>85.384257637456528</v>
      </c>
      <c r="Q49" s="4">
        <f t="shared" si="32"/>
        <v>0</v>
      </c>
      <c r="R49" s="4">
        <f t="shared" si="32"/>
        <v>0</v>
      </c>
      <c r="S49" s="4">
        <f t="shared" si="32"/>
        <v>0</v>
      </c>
      <c r="T49" s="4">
        <f t="shared" si="32"/>
        <v>0</v>
      </c>
      <c r="U49" s="4">
        <f t="shared" si="32"/>
        <v>0</v>
      </c>
      <c r="V49" s="4">
        <f t="shared" si="32"/>
        <v>0</v>
      </c>
      <c r="W49" s="4">
        <f t="shared" si="26"/>
        <v>0</v>
      </c>
      <c r="X49" s="4">
        <f t="shared" si="26"/>
        <v>0</v>
      </c>
      <c r="Y49" s="4">
        <f t="shared" si="26"/>
        <v>0</v>
      </c>
      <c r="Z49" s="4">
        <f t="shared" si="26"/>
        <v>0</v>
      </c>
      <c r="AA49" s="4">
        <f t="shared" si="26"/>
        <v>0</v>
      </c>
      <c r="AB49" s="4">
        <f t="shared" si="26"/>
        <v>0</v>
      </c>
      <c r="AC49" s="4">
        <f t="shared" si="26"/>
        <v>0</v>
      </c>
      <c r="AD49" s="4">
        <f t="shared" si="26"/>
        <v>0</v>
      </c>
      <c r="AE49" s="4">
        <f t="shared" si="26"/>
        <v>0</v>
      </c>
      <c r="AF49" s="4">
        <f t="shared" si="26"/>
        <v>0</v>
      </c>
      <c r="AG49" s="4">
        <f t="shared" si="26"/>
        <v>0</v>
      </c>
      <c r="AH49" s="4">
        <f t="shared" si="26"/>
        <v>0</v>
      </c>
      <c r="AI49" s="4">
        <f t="shared" si="26"/>
        <v>0</v>
      </c>
      <c r="AJ49" s="4">
        <f t="shared" si="26"/>
        <v>0</v>
      </c>
      <c r="AK49" s="4">
        <f t="shared" si="26"/>
        <v>0</v>
      </c>
      <c r="AL49" s="4">
        <f t="shared" si="33"/>
        <v>0</v>
      </c>
      <c r="AM49" s="4">
        <f t="shared" si="33"/>
        <v>0</v>
      </c>
      <c r="AN49" s="4">
        <f t="shared" si="33"/>
        <v>0</v>
      </c>
      <c r="AO49" s="4">
        <f t="shared" si="33"/>
        <v>0</v>
      </c>
      <c r="AP49" s="4">
        <f t="shared" si="33"/>
        <v>0</v>
      </c>
      <c r="AQ49" s="4">
        <f t="shared" si="33"/>
        <v>0</v>
      </c>
      <c r="AR49" s="4">
        <f t="shared" si="33"/>
        <v>0</v>
      </c>
      <c r="AS49" s="4">
        <f t="shared" si="33"/>
        <v>0</v>
      </c>
      <c r="AT49" s="4">
        <f t="shared" si="33"/>
        <v>0</v>
      </c>
      <c r="AU49" s="4">
        <f t="shared" si="33"/>
        <v>0</v>
      </c>
      <c r="AV49" s="4">
        <f t="shared" si="33"/>
        <v>0</v>
      </c>
      <c r="AW49" s="4">
        <f t="shared" si="33"/>
        <v>0</v>
      </c>
      <c r="AX49" s="4">
        <f t="shared" si="33"/>
        <v>0</v>
      </c>
      <c r="AY49" s="4">
        <f t="shared" si="34"/>
        <v>0</v>
      </c>
      <c r="AZ49" s="4">
        <f t="shared" si="34"/>
        <v>0</v>
      </c>
      <c r="BA49" s="4">
        <f t="shared" si="34"/>
        <v>0</v>
      </c>
      <c r="BB49" s="4">
        <f t="shared" si="34"/>
        <v>0</v>
      </c>
      <c r="BC49" s="4">
        <f t="shared" si="34"/>
        <v>0</v>
      </c>
      <c r="BD49" s="4">
        <f t="shared" si="34"/>
        <v>0</v>
      </c>
      <c r="BF49" s="2">
        <f t="shared" si="35"/>
        <v>1000</v>
      </c>
      <c r="BG49" s="1">
        <f t="shared" si="39"/>
        <v>0</v>
      </c>
      <c r="BH49" s="1">
        <f t="shared" si="36"/>
        <v>0</v>
      </c>
      <c r="BI49" s="1">
        <f t="shared" si="36"/>
        <v>0</v>
      </c>
      <c r="BJ49" s="1">
        <f t="shared" si="36"/>
        <v>0</v>
      </c>
      <c r="BK49" s="1">
        <f t="shared" si="36"/>
        <v>0</v>
      </c>
      <c r="BL49" s="1">
        <f t="shared" si="36"/>
        <v>0</v>
      </c>
      <c r="BM49" s="1">
        <f t="shared" si="36"/>
        <v>0</v>
      </c>
      <c r="BN49" s="1">
        <f t="shared" si="36"/>
        <v>0</v>
      </c>
      <c r="BO49" s="1">
        <f t="shared" si="36"/>
        <v>0</v>
      </c>
      <c r="BP49" s="1">
        <f t="shared" si="36"/>
        <v>0</v>
      </c>
      <c r="BQ49" s="1">
        <f t="shared" si="36"/>
        <v>0</v>
      </c>
      <c r="BR49" s="1">
        <f t="shared" si="36"/>
        <v>0</v>
      </c>
      <c r="BS49" s="1">
        <f t="shared" si="36"/>
        <v>0</v>
      </c>
      <c r="BT49" s="1">
        <f t="shared" si="36"/>
        <v>0</v>
      </c>
      <c r="BU49" s="1">
        <f t="shared" si="36"/>
        <v>0</v>
      </c>
      <c r="BV49" s="1">
        <f t="shared" si="36"/>
        <v>0</v>
      </c>
      <c r="BW49" s="1">
        <f t="shared" si="36"/>
        <v>0</v>
      </c>
      <c r="BX49" s="1">
        <f t="shared" si="27"/>
        <v>0</v>
      </c>
      <c r="BY49" s="1">
        <f t="shared" si="27"/>
        <v>0</v>
      </c>
      <c r="BZ49" s="1">
        <f t="shared" si="27"/>
        <v>0</v>
      </c>
      <c r="CA49" s="1">
        <f t="shared" si="27"/>
        <v>0</v>
      </c>
      <c r="CB49" s="1">
        <f t="shared" si="27"/>
        <v>0</v>
      </c>
      <c r="CC49" s="1">
        <f t="shared" si="27"/>
        <v>0</v>
      </c>
      <c r="CD49" s="1">
        <f t="shared" si="27"/>
        <v>0</v>
      </c>
      <c r="CE49" s="1">
        <f t="shared" si="27"/>
        <v>0</v>
      </c>
      <c r="CF49" s="1">
        <f t="shared" si="27"/>
        <v>0</v>
      </c>
      <c r="CG49" s="1">
        <f t="shared" si="27"/>
        <v>0</v>
      </c>
      <c r="CH49" s="1">
        <f t="shared" si="27"/>
        <v>0</v>
      </c>
      <c r="CI49" s="1">
        <f t="shared" si="27"/>
        <v>0</v>
      </c>
      <c r="CJ49" s="1">
        <f t="shared" si="27"/>
        <v>0</v>
      </c>
      <c r="CK49" s="1">
        <f t="shared" si="27"/>
        <v>0</v>
      </c>
      <c r="CL49" s="1">
        <f t="shared" si="27"/>
        <v>0</v>
      </c>
      <c r="CM49" s="1">
        <f t="shared" si="37"/>
        <v>0</v>
      </c>
      <c r="CN49" s="1">
        <f t="shared" si="37"/>
        <v>0</v>
      </c>
      <c r="CO49" s="1">
        <f t="shared" si="37"/>
        <v>0</v>
      </c>
      <c r="CP49" s="1">
        <f t="shared" si="37"/>
        <v>0</v>
      </c>
      <c r="CQ49" s="1">
        <f t="shared" si="37"/>
        <v>0</v>
      </c>
      <c r="CR49" s="1">
        <f t="shared" si="37"/>
        <v>0</v>
      </c>
      <c r="CS49" s="1">
        <f t="shared" si="37"/>
        <v>0</v>
      </c>
      <c r="CT49" s="1">
        <f t="shared" si="37"/>
        <v>0</v>
      </c>
      <c r="CU49" s="1">
        <f t="shared" si="37"/>
        <v>0</v>
      </c>
      <c r="CV49" s="1">
        <f t="shared" si="37"/>
        <v>0</v>
      </c>
      <c r="CW49" s="1">
        <f t="shared" si="37"/>
        <v>0</v>
      </c>
      <c r="CX49" s="1">
        <f t="shared" si="37"/>
        <v>0</v>
      </c>
      <c r="CY49" s="1">
        <f t="shared" si="37"/>
        <v>0</v>
      </c>
      <c r="CZ49" s="1">
        <f t="shared" si="37"/>
        <v>0</v>
      </c>
      <c r="DA49" s="1">
        <f t="shared" si="37"/>
        <v>0</v>
      </c>
      <c r="DB49" s="1">
        <f t="shared" si="37"/>
        <v>0</v>
      </c>
      <c r="DC49" s="1">
        <f t="shared" si="28"/>
        <v>0</v>
      </c>
      <c r="DD49" s="1">
        <f t="shared" si="28"/>
        <v>0</v>
      </c>
    </row>
    <row r="50" spans="1:108" x14ac:dyDescent="0.2">
      <c r="A50">
        <v>1100</v>
      </c>
      <c r="B50" s="1">
        <f t="shared" si="38"/>
        <v>3.6691780693082081E-6</v>
      </c>
      <c r="C50" s="3">
        <f t="shared" si="29"/>
        <v>8.2312423452512679E-7</v>
      </c>
      <c r="D50" s="5">
        <f t="shared" si="30"/>
        <v>18.211091781832547</v>
      </c>
      <c r="F50" s="1">
        <f t="shared" si="31"/>
        <v>3.6691780693082081E-6</v>
      </c>
      <c r="G50" s="4">
        <f t="shared" si="32"/>
        <v>203.97086109698895</v>
      </c>
      <c r="H50" s="4">
        <f t="shared" si="32"/>
        <v>185.12151231597673</v>
      </c>
      <c r="I50" s="4">
        <f t="shared" si="32"/>
        <v>169.46126338962111</v>
      </c>
      <c r="J50" s="4">
        <f t="shared" si="32"/>
        <v>155.04005615515541</v>
      </c>
      <c r="K50" s="4">
        <f t="shared" si="32"/>
        <v>139.04823452540563</v>
      </c>
      <c r="L50" s="4">
        <f t="shared" si="32"/>
        <v>125.8179770312755</v>
      </c>
      <c r="M50" s="4">
        <f t="shared" si="32"/>
        <v>114.70939806430657</v>
      </c>
      <c r="N50" s="4">
        <f t="shared" si="32"/>
        <v>105.26304954419187</v>
      </c>
      <c r="O50" s="4">
        <f t="shared" si="32"/>
        <v>97.141198236205256</v>
      </c>
      <c r="P50" s="4">
        <f t="shared" si="32"/>
        <v>90.090450765372623</v>
      </c>
      <c r="Q50" s="4">
        <f t="shared" si="32"/>
        <v>0</v>
      </c>
      <c r="R50" s="4">
        <f t="shared" si="32"/>
        <v>0</v>
      </c>
      <c r="S50" s="4">
        <f t="shared" si="32"/>
        <v>0</v>
      </c>
      <c r="T50" s="4">
        <f t="shared" si="32"/>
        <v>0</v>
      </c>
      <c r="U50" s="4">
        <f t="shared" si="32"/>
        <v>0</v>
      </c>
      <c r="V50" s="4">
        <f t="shared" si="32"/>
        <v>0</v>
      </c>
      <c r="W50" s="4">
        <f t="shared" si="26"/>
        <v>0</v>
      </c>
      <c r="X50" s="4">
        <f t="shared" si="26"/>
        <v>0</v>
      </c>
      <c r="Y50" s="4">
        <f t="shared" si="26"/>
        <v>0</v>
      </c>
      <c r="Z50" s="4">
        <f t="shared" si="26"/>
        <v>0</v>
      </c>
      <c r="AA50" s="4">
        <f t="shared" si="26"/>
        <v>0</v>
      </c>
      <c r="AB50" s="4">
        <f t="shared" si="26"/>
        <v>0</v>
      </c>
      <c r="AC50" s="4">
        <f t="shared" si="26"/>
        <v>0</v>
      </c>
      <c r="AD50" s="4">
        <f t="shared" si="26"/>
        <v>0</v>
      </c>
      <c r="AE50" s="4">
        <f t="shared" si="26"/>
        <v>0</v>
      </c>
      <c r="AF50" s="4">
        <f t="shared" si="26"/>
        <v>0</v>
      </c>
      <c r="AG50" s="4">
        <f t="shared" si="26"/>
        <v>0</v>
      </c>
      <c r="AH50" s="4">
        <f t="shared" si="26"/>
        <v>0</v>
      </c>
      <c r="AI50" s="4">
        <f t="shared" si="26"/>
        <v>0</v>
      </c>
      <c r="AJ50" s="4">
        <f t="shared" si="26"/>
        <v>0</v>
      </c>
      <c r="AK50" s="4">
        <f t="shared" si="26"/>
        <v>0</v>
      </c>
      <c r="AL50" s="4">
        <f t="shared" si="33"/>
        <v>0</v>
      </c>
      <c r="AM50" s="4">
        <f t="shared" si="33"/>
        <v>0</v>
      </c>
      <c r="AN50" s="4">
        <f t="shared" si="33"/>
        <v>0</v>
      </c>
      <c r="AO50" s="4">
        <f t="shared" si="33"/>
        <v>0</v>
      </c>
      <c r="AP50" s="4">
        <f t="shared" si="33"/>
        <v>0</v>
      </c>
      <c r="AQ50" s="4">
        <f t="shared" si="33"/>
        <v>0</v>
      </c>
      <c r="AR50" s="4">
        <f t="shared" si="33"/>
        <v>0</v>
      </c>
      <c r="AS50" s="4">
        <f t="shared" si="33"/>
        <v>0</v>
      </c>
      <c r="AT50" s="4">
        <f t="shared" si="33"/>
        <v>0</v>
      </c>
      <c r="AU50" s="4">
        <f t="shared" si="33"/>
        <v>0</v>
      </c>
      <c r="AV50" s="4">
        <f t="shared" si="33"/>
        <v>0</v>
      </c>
      <c r="AW50" s="4">
        <f t="shared" si="33"/>
        <v>0</v>
      </c>
      <c r="AX50" s="4">
        <f t="shared" si="33"/>
        <v>0</v>
      </c>
      <c r="AY50" s="4">
        <f t="shared" si="34"/>
        <v>0</v>
      </c>
      <c r="AZ50" s="4">
        <f t="shared" si="34"/>
        <v>0</v>
      </c>
      <c r="BA50" s="4">
        <f t="shared" si="34"/>
        <v>0</v>
      </c>
      <c r="BB50" s="4">
        <f t="shared" si="34"/>
        <v>0</v>
      </c>
      <c r="BC50" s="4">
        <f t="shared" si="34"/>
        <v>0</v>
      </c>
      <c r="BD50" s="4">
        <f t="shared" si="34"/>
        <v>0</v>
      </c>
      <c r="BF50" s="2">
        <f t="shared" si="35"/>
        <v>1100</v>
      </c>
      <c r="BG50" s="1">
        <f t="shared" si="39"/>
        <v>0</v>
      </c>
      <c r="BH50" s="1">
        <f t="shared" si="36"/>
        <v>0</v>
      </c>
      <c r="BI50" s="1">
        <f t="shared" si="36"/>
        <v>0</v>
      </c>
      <c r="BJ50" s="1">
        <f t="shared" si="36"/>
        <v>0</v>
      </c>
      <c r="BK50" s="1">
        <f t="shared" si="36"/>
        <v>0</v>
      </c>
      <c r="BL50" s="1">
        <f t="shared" si="36"/>
        <v>0</v>
      </c>
      <c r="BM50" s="1">
        <f t="shared" si="36"/>
        <v>0</v>
      </c>
      <c r="BN50" s="1">
        <f t="shared" si="36"/>
        <v>0</v>
      </c>
      <c r="BO50" s="1">
        <f t="shared" si="36"/>
        <v>0</v>
      </c>
      <c r="BP50" s="1">
        <f t="shared" si="36"/>
        <v>0</v>
      </c>
      <c r="BQ50" s="1">
        <f t="shared" si="36"/>
        <v>0</v>
      </c>
      <c r="BR50" s="1">
        <f t="shared" si="36"/>
        <v>0</v>
      </c>
      <c r="BS50" s="1">
        <f t="shared" si="36"/>
        <v>0</v>
      </c>
      <c r="BT50" s="1">
        <f t="shared" si="36"/>
        <v>0</v>
      </c>
      <c r="BU50" s="1">
        <f t="shared" si="36"/>
        <v>0</v>
      </c>
      <c r="BV50" s="1">
        <f t="shared" si="36"/>
        <v>0</v>
      </c>
      <c r="BW50" s="1">
        <f t="shared" si="36"/>
        <v>0</v>
      </c>
      <c r="BX50" s="1">
        <f t="shared" si="27"/>
        <v>0</v>
      </c>
      <c r="BY50" s="1">
        <f t="shared" si="27"/>
        <v>0</v>
      </c>
      <c r="BZ50" s="1">
        <f t="shared" si="27"/>
        <v>0</v>
      </c>
      <c r="CA50" s="1">
        <f t="shared" si="27"/>
        <v>0</v>
      </c>
      <c r="CB50" s="1">
        <f t="shared" si="27"/>
        <v>0</v>
      </c>
      <c r="CC50" s="1">
        <f t="shared" si="27"/>
        <v>0</v>
      </c>
      <c r="CD50" s="1">
        <f t="shared" si="27"/>
        <v>0</v>
      </c>
      <c r="CE50" s="1">
        <f t="shared" si="27"/>
        <v>0</v>
      </c>
      <c r="CF50" s="1">
        <f t="shared" si="27"/>
        <v>0</v>
      </c>
      <c r="CG50" s="1">
        <f t="shared" si="27"/>
        <v>0</v>
      </c>
      <c r="CH50" s="1">
        <f t="shared" si="27"/>
        <v>0</v>
      </c>
      <c r="CI50" s="1">
        <f t="shared" si="27"/>
        <v>0</v>
      </c>
      <c r="CJ50" s="1">
        <f t="shared" si="27"/>
        <v>0</v>
      </c>
      <c r="CK50" s="1">
        <f t="shared" si="27"/>
        <v>0</v>
      </c>
      <c r="CL50" s="1">
        <f t="shared" si="27"/>
        <v>0</v>
      </c>
      <c r="CM50" s="1">
        <f t="shared" si="37"/>
        <v>0</v>
      </c>
      <c r="CN50" s="1">
        <f t="shared" si="37"/>
        <v>0</v>
      </c>
      <c r="CO50" s="1">
        <f t="shared" si="37"/>
        <v>0</v>
      </c>
      <c r="CP50" s="1">
        <f t="shared" si="37"/>
        <v>0</v>
      </c>
      <c r="CQ50" s="1">
        <f t="shared" si="37"/>
        <v>0</v>
      </c>
      <c r="CR50" s="1">
        <f t="shared" si="37"/>
        <v>0</v>
      </c>
      <c r="CS50" s="1">
        <f t="shared" si="37"/>
        <v>0</v>
      </c>
      <c r="CT50" s="1">
        <f t="shared" si="37"/>
        <v>0</v>
      </c>
      <c r="CU50" s="1">
        <f t="shared" si="37"/>
        <v>0</v>
      </c>
      <c r="CV50" s="1">
        <f t="shared" si="37"/>
        <v>0</v>
      </c>
      <c r="CW50" s="1">
        <f t="shared" si="37"/>
        <v>0</v>
      </c>
      <c r="CX50" s="1">
        <f t="shared" si="37"/>
        <v>0</v>
      </c>
      <c r="CY50" s="1">
        <f t="shared" si="37"/>
        <v>0</v>
      </c>
      <c r="CZ50" s="1">
        <f t="shared" si="37"/>
        <v>0</v>
      </c>
      <c r="DA50" s="1">
        <f t="shared" si="37"/>
        <v>0</v>
      </c>
      <c r="DB50" s="1">
        <f t="shared" si="37"/>
        <v>0</v>
      </c>
      <c r="DC50" s="1">
        <f t="shared" si="28"/>
        <v>0</v>
      </c>
      <c r="DD50" s="1">
        <f t="shared" si="28"/>
        <v>0</v>
      </c>
    </row>
    <row r="51" spans="1:108" x14ac:dyDescent="0.2">
      <c r="A51">
        <v>1200</v>
      </c>
      <c r="B51" s="1">
        <f t="shared" si="38"/>
        <v>2.8460538347830813E-6</v>
      </c>
      <c r="C51" s="3">
        <f t="shared" si="29"/>
        <v>6.3846884504431069E-7</v>
      </c>
      <c r="D51" s="5">
        <f t="shared" si="30"/>
        <v>18.85601417443117</v>
      </c>
      <c r="F51" s="1">
        <f t="shared" si="31"/>
        <v>2.8460538347830813E-6</v>
      </c>
      <c r="G51" s="4">
        <f t="shared" si="32"/>
        <v>228.89064664686705</v>
      </c>
      <c r="H51" s="4">
        <f t="shared" si="32"/>
        <v>207.86372880656361</v>
      </c>
      <c r="I51" s="4">
        <f t="shared" si="32"/>
        <v>183.76386805010844</v>
      </c>
      <c r="J51" s="4">
        <f t="shared" si="32"/>
        <v>163.04636021312766</v>
      </c>
      <c r="K51" s="4">
        <f t="shared" si="32"/>
        <v>146.20489112349102</v>
      </c>
      <c r="L51" s="4">
        <f t="shared" si="32"/>
        <v>132.27425684364104</v>
      </c>
      <c r="M51" s="4">
        <f t="shared" si="32"/>
        <v>120.57988687070188</v>
      </c>
      <c r="N51" s="4">
        <f t="shared" si="32"/>
        <v>110.63735919449201</v>
      </c>
      <c r="O51" s="4">
        <f t="shared" si="32"/>
        <v>102.0905598895142</v>
      </c>
      <c r="P51" s="4">
        <f t="shared" si="32"/>
        <v>94.672303716745006</v>
      </c>
      <c r="Q51" s="4">
        <f t="shared" si="32"/>
        <v>0</v>
      </c>
      <c r="R51" s="4">
        <f t="shared" si="32"/>
        <v>0</v>
      </c>
      <c r="S51" s="4">
        <f t="shared" si="32"/>
        <v>0</v>
      </c>
      <c r="T51" s="4">
        <f t="shared" si="32"/>
        <v>0</v>
      </c>
      <c r="U51" s="4">
        <f t="shared" si="32"/>
        <v>0</v>
      </c>
      <c r="V51" s="4">
        <f t="shared" si="32"/>
        <v>0</v>
      </c>
      <c r="W51" s="4">
        <f t="shared" si="26"/>
        <v>0</v>
      </c>
      <c r="X51" s="4">
        <f t="shared" si="26"/>
        <v>0</v>
      </c>
      <c r="Y51" s="4">
        <f t="shared" si="26"/>
        <v>0</v>
      </c>
      <c r="Z51" s="4">
        <f t="shared" si="26"/>
        <v>0</v>
      </c>
      <c r="AA51" s="4">
        <f t="shared" si="26"/>
        <v>0</v>
      </c>
      <c r="AB51" s="4">
        <f t="shared" si="26"/>
        <v>0</v>
      </c>
      <c r="AC51" s="4">
        <f t="shared" si="26"/>
        <v>0</v>
      </c>
      <c r="AD51" s="4">
        <f t="shared" si="26"/>
        <v>0</v>
      </c>
      <c r="AE51" s="4">
        <f t="shared" si="26"/>
        <v>0</v>
      </c>
      <c r="AF51" s="4">
        <f t="shared" si="26"/>
        <v>0</v>
      </c>
      <c r="AG51" s="4">
        <f t="shared" si="26"/>
        <v>0</v>
      </c>
      <c r="AH51" s="4">
        <f t="shared" si="26"/>
        <v>0</v>
      </c>
      <c r="AI51" s="4">
        <f t="shared" si="26"/>
        <v>0</v>
      </c>
      <c r="AJ51" s="4">
        <f t="shared" si="26"/>
        <v>0</v>
      </c>
      <c r="AK51" s="4">
        <f t="shared" si="26"/>
        <v>0</v>
      </c>
      <c r="AL51" s="4">
        <f t="shared" si="33"/>
        <v>0</v>
      </c>
      <c r="AM51" s="4">
        <f t="shared" si="33"/>
        <v>0</v>
      </c>
      <c r="AN51" s="4">
        <f t="shared" si="33"/>
        <v>0</v>
      </c>
      <c r="AO51" s="4">
        <f t="shared" si="33"/>
        <v>0</v>
      </c>
      <c r="AP51" s="4">
        <f t="shared" si="33"/>
        <v>0</v>
      </c>
      <c r="AQ51" s="4">
        <f t="shared" si="33"/>
        <v>0</v>
      </c>
      <c r="AR51" s="4">
        <f t="shared" si="33"/>
        <v>0</v>
      </c>
      <c r="AS51" s="4">
        <f t="shared" si="33"/>
        <v>0</v>
      </c>
      <c r="AT51" s="4">
        <f t="shared" si="33"/>
        <v>0</v>
      </c>
      <c r="AU51" s="4">
        <f t="shared" si="33"/>
        <v>0</v>
      </c>
      <c r="AV51" s="4">
        <f t="shared" si="33"/>
        <v>0</v>
      </c>
      <c r="AW51" s="4">
        <f t="shared" si="33"/>
        <v>0</v>
      </c>
      <c r="AX51" s="4">
        <f t="shared" si="33"/>
        <v>0</v>
      </c>
      <c r="AY51" s="4">
        <f t="shared" si="34"/>
        <v>0</v>
      </c>
      <c r="AZ51" s="4">
        <f t="shared" si="34"/>
        <v>0</v>
      </c>
      <c r="BA51" s="4">
        <f t="shared" si="34"/>
        <v>0</v>
      </c>
      <c r="BB51" s="4">
        <f t="shared" si="34"/>
        <v>0</v>
      </c>
      <c r="BC51" s="4">
        <f t="shared" si="34"/>
        <v>0</v>
      </c>
      <c r="BD51" s="4">
        <f t="shared" si="34"/>
        <v>0</v>
      </c>
      <c r="BF51" s="2">
        <f t="shared" si="35"/>
        <v>1200</v>
      </c>
      <c r="BG51" s="1">
        <f t="shared" si="39"/>
        <v>0</v>
      </c>
      <c r="BH51" s="1">
        <f t="shared" si="36"/>
        <v>0</v>
      </c>
      <c r="BI51" s="1">
        <f t="shared" si="36"/>
        <v>0</v>
      </c>
      <c r="BJ51" s="1">
        <f t="shared" si="36"/>
        <v>0</v>
      </c>
      <c r="BK51" s="1">
        <f t="shared" si="36"/>
        <v>0</v>
      </c>
      <c r="BL51" s="1">
        <f t="shared" si="36"/>
        <v>0</v>
      </c>
      <c r="BM51" s="1">
        <f t="shared" si="36"/>
        <v>0</v>
      </c>
      <c r="BN51" s="1">
        <f t="shared" si="36"/>
        <v>0</v>
      </c>
      <c r="BO51" s="1">
        <f t="shared" si="36"/>
        <v>0</v>
      </c>
      <c r="BP51" s="1">
        <f t="shared" si="36"/>
        <v>0</v>
      </c>
      <c r="BQ51" s="1">
        <f t="shared" si="36"/>
        <v>0</v>
      </c>
      <c r="BR51" s="1">
        <f t="shared" si="36"/>
        <v>0</v>
      </c>
      <c r="BS51" s="1">
        <f t="shared" si="36"/>
        <v>0</v>
      </c>
      <c r="BT51" s="1">
        <f t="shared" si="36"/>
        <v>0</v>
      </c>
      <c r="BU51" s="1">
        <f t="shared" si="36"/>
        <v>0</v>
      </c>
      <c r="BV51" s="1">
        <f t="shared" si="36"/>
        <v>0</v>
      </c>
      <c r="BW51" s="1">
        <f t="shared" si="36"/>
        <v>0</v>
      </c>
      <c r="BX51" s="1">
        <f t="shared" si="27"/>
        <v>0</v>
      </c>
      <c r="BY51" s="1">
        <f t="shared" si="27"/>
        <v>0</v>
      </c>
      <c r="BZ51" s="1">
        <f t="shared" si="27"/>
        <v>0</v>
      </c>
      <c r="CA51" s="1">
        <f t="shared" si="27"/>
        <v>0</v>
      </c>
      <c r="CB51" s="1">
        <f t="shared" si="27"/>
        <v>0</v>
      </c>
      <c r="CC51" s="1">
        <f t="shared" si="27"/>
        <v>0</v>
      </c>
      <c r="CD51" s="1">
        <f t="shared" si="27"/>
        <v>0</v>
      </c>
      <c r="CE51" s="1">
        <f t="shared" si="27"/>
        <v>0</v>
      </c>
      <c r="CF51" s="1">
        <f t="shared" si="27"/>
        <v>0</v>
      </c>
      <c r="CG51" s="1">
        <f t="shared" si="27"/>
        <v>0</v>
      </c>
      <c r="CH51" s="1">
        <f t="shared" si="27"/>
        <v>0</v>
      </c>
      <c r="CI51" s="1">
        <f t="shared" si="27"/>
        <v>0</v>
      </c>
      <c r="CJ51" s="1">
        <f t="shared" si="27"/>
        <v>0</v>
      </c>
      <c r="CK51" s="1">
        <f t="shared" si="27"/>
        <v>0</v>
      </c>
      <c r="CL51" s="1">
        <f t="shared" si="27"/>
        <v>0</v>
      </c>
      <c r="CM51" s="1">
        <f t="shared" si="37"/>
        <v>0</v>
      </c>
      <c r="CN51" s="1">
        <f t="shared" si="37"/>
        <v>0</v>
      </c>
      <c r="CO51" s="1">
        <f t="shared" si="37"/>
        <v>0</v>
      </c>
      <c r="CP51" s="1">
        <f t="shared" si="37"/>
        <v>0</v>
      </c>
      <c r="CQ51" s="1">
        <f t="shared" si="37"/>
        <v>0</v>
      </c>
      <c r="CR51" s="1">
        <f t="shared" si="37"/>
        <v>0</v>
      </c>
      <c r="CS51" s="1">
        <f t="shared" si="37"/>
        <v>0</v>
      </c>
      <c r="CT51" s="1">
        <f t="shared" si="37"/>
        <v>0</v>
      </c>
      <c r="CU51" s="1">
        <f t="shared" si="37"/>
        <v>0</v>
      </c>
      <c r="CV51" s="1">
        <f t="shared" si="37"/>
        <v>0</v>
      </c>
      <c r="CW51" s="1">
        <f t="shared" si="37"/>
        <v>0</v>
      </c>
      <c r="CX51" s="1">
        <f t="shared" si="37"/>
        <v>0</v>
      </c>
      <c r="CY51" s="1">
        <f t="shared" si="37"/>
        <v>0</v>
      </c>
      <c r="CZ51" s="1">
        <f t="shared" si="37"/>
        <v>0</v>
      </c>
      <c r="DA51" s="1">
        <f t="shared" si="37"/>
        <v>0</v>
      </c>
      <c r="DB51" s="1">
        <f t="shared" si="37"/>
        <v>0</v>
      </c>
      <c r="DC51" s="1">
        <f t="shared" si="28"/>
        <v>0</v>
      </c>
      <c r="DD51" s="1">
        <f t="shared" si="28"/>
        <v>0</v>
      </c>
    </row>
    <row r="52" spans="1:108" x14ac:dyDescent="0.2">
      <c r="A52">
        <v>1300</v>
      </c>
      <c r="B52" s="1">
        <f t="shared" si="38"/>
        <v>2.2075849897387706E-6</v>
      </c>
      <c r="C52" s="3">
        <f t="shared" si="29"/>
        <v>4.9523808071012363E-7</v>
      </c>
      <c r="D52" s="5">
        <f t="shared" si="30"/>
        <v>19.469434975763289</v>
      </c>
      <c r="F52" s="1">
        <f t="shared" si="31"/>
        <v>2.2075849897387706E-6</v>
      </c>
      <c r="G52" s="4">
        <f t="shared" si="32"/>
        <v>254.45269167015346</v>
      </c>
      <c r="H52" s="4">
        <f t="shared" si="32"/>
        <v>219.94792814659422</v>
      </c>
      <c r="I52" s="4">
        <f t="shared" si="32"/>
        <v>192.63289338483654</v>
      </c>
      <c r="J52" s="4">
        <f t="shared" si="32"/>
        <v>170.88583939025048</v>
      </c>
      <c r="K52" s="4">
        <f t="shared" si="32"/>
        <v>153.21001241824217</v>
      </c>
      <c r="L52" s="4">
        <f t="shared" si="32"/>
        <v>138.59171661026446</v>
      </c>
      <c r="M52" s="4">
        <f t="shared" si="32"/>
        <v>126.32231153472488</v>
      </c>
      <c r="N52" s="4">
        <f t="shared" si="32"/>
        <v>115.89283314792972</v>
      </c>
      <c r="O52" s="4">
        <f t="shared" si="32"/>
        <v>106.9290990329158</v>
      </c>
      <c r="P52" s="4">
        <f t="shared" si="32"/>
        <v>99.15036345470331</v>
      </c>
      <c r="Q52" s="4">
        <f t="shared" si="32"/>
        <v>0</v>
      </c>
      <c r="R52" s="4">
        <f t="shared" si="32"/>
        <v>0</v>
      </c>
      <c r="S52" s="4">
        <f t="shared" si="32"/>
        <v>0</v>
      </c>
      <c r="T52" s="4">
        <f t="shared" si="32"/>
        <v>0</v>
      </c>
      <c r="U52" s="4">
        <f t="shared" si="32"/>
        <v>0</v>
      </c>
      <c r="V52" s="4">
        <f t="shared" si="32"/>
        <v>0</v>
      </c>
      <c r="W52" s="4">
        <f t="shared" si="26"/>
        <v>0</v>
      </c>
      <c r="X52" s="4">
        <f t="shared" si="26"/>
        <v>0</v>
      </c>
      <c r="Y52" s="4">
        <f t="shared" si="26"/>
        <v>0</v>
      </c>
      <c r="Z52" s="4">
        <f t="shared" si="26"/>
        <v>0</v>
      </c>
      <c r="AA52" s="4">
        <f t="shared" si="26"/>
        <v>0</v>
      </c>
      <c r="AB52" s="4">
        <f t="shared" si="26"/>
        <v>0</v>
      </c>
      <c r="AC52" s="4">
        <f t="shared" si="26"/>
        <v>0</v>
      </c>
      <c r="AD52" s="4">
        <f t="shared" si="26"/>
        <v>0</v>
      </c>
      <c r="AE52" s="4">
        <f t="shared" si="26"/>
        <v>0</v>
      </c>
      <c r="AF52" s="4">
        <f t="shared" si="26"/>
        <v>0</v>
      </c>
      <c r="AG52" s="4">
        <f t="shared" si="26"/>
        <v>0</v>
      </c>
      <c r="AH52" s="4">
        <f t="shared" si="26"/>
        <v>0</v>
      </c>
      <c r="AI52" s="4">
        <f t="shared" si="26"/>
        <v>0</v>
      </c>
      <c r="AJ52" s="4">
        <f t="shared" si="26"/>
        <v>0</v>
      </c>
      <c r="AK52" s="4">
        <f t="shared" si="26"/>
        <v>0</v>
      </c>
      <c r="AL52" s="4">
        <f t="shared" si="33"/>
        <v>0</v>
      </c>
      <c r="AM52" s="4">
        <f t="shared" si="33"/>
        <v>0</v>
      </c>
      <c r="AN52" s="4">
        <f t="shared" si="33"/>
        <v>0</v>
      </c>
      <c r="AO52" s="4">
        <f t="shared" si="33"/>
        <v>0</v>
      </c>
      <c r="AP52" s="4">
        <f t="shared" si="33"/>
        <v>0</v>
      </c>
      <c r="AQ52" s="4">
        <f t="shared" si="33"/>
        <v>0</v>
      </c>
      <c r="AR52" s="4">
        <f t="shared" si="33"/>
        <v>0</v>
      </c>
      <c r="AS52" s="4">
        <f t="shared" si="33"/>
        <v>0</v>
      </c>
      <c r="AT52" s="4">
        <f t="shared" si="33"/>
        <v>0</v>
      </c>
      <c r="AU52" s="4">
        <f t="shared" si="33"/>
        <v>0</v>
      </c>
      <c r="AV52" s="4">
        <f t="shared" si="33"/>
        <v>0</v>
      </c>
      <c r="AW52" s="4">
        <f t="shared" si="33"/>
        <v>0</v>
      </c>
      <c r="AX52" s="4">
        <f t="shared" si="33"/>
        <v>0</v>
      </c>
      <c r="AY52" s="4">
        <f t="shared" si="34"/>
        <v>0</v>
      </c>
      <c r="AZ52" s="4">
        <f t="shared" si="34"/>
        <v>0</v>
      </c>
      <c r="BA52" s="4">
        <f t="shared" si="34"/>
        <v>0</v>
      </c>
      <c r="BB52" s="4">
        <f t="shared" si="34"/>
        <v>0</v>
      </c>
      <c r="BC52" s="4">
        <f t="shared" si="34"/>
        <v>0</v>
      </c>
      <c r="BD52" s="4">
        <f t="shared" si="34"/>
        <v>0</v>
      </c>
      <c r="BF52" s="2">
        <f t="shared" si="35"/>
        <v>1300</v>
      </c>
      <c r="BG52" s="1">
        <f t="shared" si="39"/>
        <v>0</v>
      </c>
      <c r="BH52" s="1">
        <f t="shared" si="36"/>
        <v>0</v>
      </c>
      <c r="BI52" s="1">
        <f t="shared" si="36"/>
        <v>0</v>
      </c>
      <c r="BJ52" s="1">
        <f t="shared" si="36"/>
        <v>0</v>
      </c>
      <c r="BK52" s="1">
        <f t="shared" si="36"/>
        <v>0</v>
      </c>
      <c r="BL52" s="1">
        <f t="shared" si="36"/>
        <v>0</v>
      </c>
      <c r="BM52" s="1">
        <f t="shared" si="36"/>
        <v>0</v>
      </c>
      <c r="BN52" s="1">
        <f t="shared" si="36"/>
        <v>0</v>
      </c>
      <c r="BO52" s="1">
        <f t="shared" si="36"/>
        <v>0</v>
      </c>
      <c r="BP52" s="1">
        <f t="shared" si="36"/>
        <v>0</v>
      </c>
      <c r="BQ52" s="1">
        <f t="shared" si="36"/>
        <v>0</v>
      </c>
      <c r="BR52" s="1">
        <f t="shared" si="36"/>
        <v>0</v>
      </c>
      <c r="BS52" s="1">
        <f t="shared" si="36"/>
        <v>0</v>
      </c>
      <c r="BT52" s="1">
        <f t="shared" si="36"/>
        <v>0</v>
      </c>
      <c r="BU52" s="1">
        <f t="shared" si="36"/>
        <v>0</v>
      </c>
      <c r="BV52" s="1">
        <f t="shared" si="36"/>
        <v>0</v>
      </c>
      <c r="BW52" s="1">
        <f t="shared" si="36"/>
        <v>0</v>
      </c>
      <c r="BX52" s="1">
        <f t="shared" si="27"/>
        <v>0</v>
      </c>
      <c r="BY52" s="1">
        <f t="shared" si="27"/>
        <v>0</v>
      </c>
      <c r="BZ52" s="1">
        <f t="shared" si="27"/>
        <v>0</v>
      </c>
      <c r="CA52" s="1">
        <f t="shared" si="27"/>
        <v>0</v>
      </c>
      <c r="CB52" s="1">
        <f t="shared" si="27"/>
        <v>0</v>
      </c>
      <c r="CC52" s="1">
        <f t="shared" si="27"/>
        <v>0</v>
      </c>
      <c r="CD52" s="1">
        <f t="shared" si="27"/>
        <v>0</v>
      </c>
      <c r="CE52" s="1">
        <f t="shared" si="27"/>
        <v>0</v>
      </c>
      <c r="CF52" s="1">
        <f t="shared" si="27"/>
        <v>0</v>
      </c>
      <c r="CG52" s="1">
        <f t="shared" si="27"/>
        <v>0</v>
      </c>
      <c r="CH52" s="1">
        <f t="shared" si="27"/>
        <v>0</v>
      </c>
      <c r="CI52" s="1">
        <f t="shared" si="27"/>
        <v>0</v>
      </c>
      <c r="CJ52" s="1">
        <f t="shared" si="27"/>
        <v>0</v>
      </c>
      <c r="CK52" s="1">
        <f t="shared" si="27"/>
        <v>0</v>
      </c>
      <c r="CL52" s="1">
        <f t="shared" si="27"/>
        <v>0</v>
      </c>
      <c r="CM52" s="1">
        <f t="shared" si="37"/>
        <v>0</v>
      </c>
      <c r="CN52" s="1">
        <f t="shared" si="37"/>
        <v>0</v>
      </c>
      <c r="CO52" s="1">
        <f t="shared" si="37"/>
        <v>0</v>
      </c>
      <c r="CP52" s="1">
        <f t="shared" si="37"/>
        <v>0</v>
      </c>
      <c r="CQ52" s="1">
        <f t="shared" si="37"/>
        <v>0</v>
      </c>
      <c r="CR52" s="1">
        <f t="shared" si="37"/>
        <v>0</v>
      </c>
      <c r="CS52" s="1">
        <f t="shared" si="37"/>
        <v>0</v>
      </c>
      <c r="CT52" s="1">
        <f t="shared" si="37"/>
        <v>0</v>
      </c>
      <c r="CU52" s="1">
        <f t="shared" si="37"/>
        <v>0</v>
      </c>
      <c r="CV52" s="1">
        <f t="shared" si="37"/>
        <v>0</v>
      </c>
      <c r="CW52" s="1">
        <f t="shared" si="37"/>
        <v>0</v>
      </c>
      <c r="CX52" s="1">
        <f t="shared" si="37"/>
        <v>0</v>
      </c>
      <c r="CY52" s="1">
        <f t="shared" si="37"/>
        <v>0</v>
      </c>
      <c r="CZ52" s="1">
        <f t="shared" si="37"/>
        <v>0</v>
      </c>
      <c r="DA52" s="1">
        <f t="shared" si="37"/>
        <v>0</v>
      </c>
      <c r="DB52" s="1">
        <f t="shared" si="37"/>
        <v>0</v>
      </c>
      <c r="DC52" s="1">
        <f t="shared" si="28"/>
        <v>0</v>
      </c>
      <c r="DD52" s="1">
        <f t="shared" si="28"/>
        <v>0</v>
      </c>
    </row>
    <row r="53" spans="1:108" x14ac:dyDescent="0.2">
      <c r="A53">
        <v>1400</v>
      </c>
      <c r="B53" s="1">
        <f t="shared" si="38"/>
        <v>1.712346909028647E-6</v>
      </c>
      <c r="C53" s="3">
        <f t="shared" si="29"/>
        <v>3.8413895758442036E-7</v>
      </c>
      <c r="D53" s="5">
        <f t="shared" si="30"/>
        <v>20.055150895093213</v>
      </c>
      <c r="F53" s="1">
        <f t="shared" si="31"/>
        <v>1.712346909028647E-6</v>
      </c>
      <c r="G53" s="4">
        <f t="shared" si="32"/>
        <v>266.76184446166343</v>
      </c>
      <c r="H53" s="4">
        <f t="shared" si="32"/>
        <v>229.93950147135027</v>
      </c>
      <c r="I53" s="4">
        <f t="shared" si="32"/>
        <v>201.34793269918495</v>
      </c>
      <c r="J53" s="4">
        <f t="shared" si="32"/>
        <v>178.58661385897244</v>
      </c>
      <c r="K53" s="4">
        <f t="shared" si="32"/>
        <v>160.08888928415269</v>
      </c>
      <c r="L53" s="4">
        <f t="shared" si="32"/>
        <v>144.79330807897156</v>
      </c>
      <c r="M53" s="4">
        <f t="shared" si="32"/>
        <v>131.95765876727211</v>
      </c>
      <c r="N53" s="4">
        <f t="shared" si="32"/>
        <v>121.04878481095685</v>
      </c>
      <c r="O53" s="4">
        <f t="shared" si="32"/>
        <v>111.67468752718817</v>
      </c>
      <c r="P53" s="4">
        <f t="shared" si="32"/>
        <v>103.54124738466815</v>
      </c>
      <c r="Q53" s="4">
        <f t="shared" si="32"/>
        <v>0</v>
      </c>
      <c r="R53" s="4">
        <f t="shared" si="32"/>
        <v>0</v>
      </c>
      <c r="S53" s="4">
        <f t="shared" si="32"/>
        <v>0</v>
      </c>
      <c r="T53" s="4">
        <f t="shared" si="32"/>
        <v>0</v>
      </c>
      <c r="U53" s="4">
        <f t="shared" si="32"/>
        <v>0</v>
      </c>
      <c r="V53" s="4">
        <f t="shared" si="32"/>
        <v>0</v>
      </c>
      <c r="W53" s="4">
        <f t="shared" si="26"/>
        <v>0</v>
      </c>
      <c r="X53" s="4">
        <f t="shared" si="26"/>
        <v>0</v>
      </c>
      <c r="Y53" s="4">
        <f t="shared" si="26"/>
        <v>0</v>
      </c>
      <c r="Z53" s="4">
        <f t="shared" si="26"/>
        <v>0</v>
      </c>
      <c r="AA53" s="4">
        <f t="shared" si="26"/>
        <v>0</v>
      </c>
      <c r="AB53" s="4">
        <f t="shared" si="26"/>
        <v>0</v>
      </c>
      <c r="AC53" s="4">
        <f t="shared" si="26"/>
        <v>0</v>
      </c>
      <c r="AD53" s="4">
        <f t="shared" si="26"/>
        <v>0</v>
      </c>
      <c r="AE53" s="4">
        <f t="shared" si="26"/>
        <v>0</v>
      </c>
      <c r="AF53" s="4">
        <f t="shared" si="26"/>
        <v>0</v>
      </c>
      <c r="AG53" s="4">
        <f t="shared" si="26"/>
        <v>0</v>
      </c>
      <c r="AH53" s="4">
        <f t="shared" si="26"/>
        <v>0</v>
      </c>
      <c r="AI53" s="4">
        <f t="shared" si="26"/>
        <v>0</v>
      </c>
      <c r="AJ53" s="4">
        <f t="shared" si="26"/>
        <v>0</v>
      </c>
      <c r="AK53" s="4">
        <f t="shared" si="26"/>
        <v>0</v>
      </c>
      <c r="AL53" s="4">
        <f t="shared" si="33"/>
        <v>0</v>
      </c>
      <c r="AM53" s="4">
        <f t="shared" si="33"/>
        <v>0</v>
      </c>
      <c r="AN53" s="4">
        <f t="shared" si="33"/>
        <v>0</v>
      </c>
      <c r="AO53" s="4">
        <f t="shared" si="33"/>
        <v>0</v>
      </c>
      <c r="AP53" s="4">
        <f t="shared" si="33"/>
        <v>0</v>
      </c>
      <c r="AQ53" s="4">
        <f t="shared" si="33"/>
        <v>0</v>
      </c>
      <c r="AR53" s="4">
        <f t="shared" si="33"/>
        <v>0</v>
      </c>
      <c r="AS53" s="4">
        <f t="shared" si="33"/>
        <v>0</v>
      </c>
      <c r="AT53" s="4">
        <f t="shared" si="33"/>
        <v>0</v>
      </c>
      <c r="AU53" s="4">
        <f t="shared" si="33"/>
        <v>0</v>
      </c>
      <c r="AV53" s="4">
        <f t="shared" si="33"/>
        <v>0</v>
      </c>
      <c r="AW53" s="4">
        <f t="shared" si="33"/>
        <v>0</v>
      </c>
      <c r="AX53" s="4">
        <f t="shared" si="33"/>
        <v>0</v>
      </c>
      <c r="AY53" s="4">
        <f t="shared" si="34"/>
        <v>0</v>
      </c>
      <c r="AZ53" s="4">
        <f t="shared" si="34"/>
        <v>0</v>
      </c>
      <c r="BA53" s="4">
        <f t="shared" si="34"/>
        <v>0</v>
      </c>
      <c r="BB53" s="4">
        <f t="shared" si="34"/>
        <v>0</v>
      </c>
      <c r="BC53" s="4">
        <f t="shared" si="34"/>
        <v>0</v>
      </c>
      <c r="BD53" s="4">
        <f t="shared" si="34"/>
        <v>0</v>
      </c>
      <c r="BF53" s="2">
        <f t="shared" si="35"/>
        <v>1400</v>
      </c>
      <c r="BG53" s="1">
        <f t="shared" si="39"/>
        <v>0</v>
      </c>
      <c r="BH53" s="1">
        <f t="shared" si="36"/>
        <v>0</v>
      </c>
      <c r="BI53" s="1">
        <f t="shared" si="36"/>
        <v>0</v>
      </c>
      <c r="BJ53" s="1">
        <f t="shared" si="36"/>
        <v>0</v>
      </c>
      <c r="BK53" s="1">
        <f t="shared" si="36"/>
        <v>0</v>
      </c>
      <c r="BL53" s="1">
        <f t="shared" si="36"/>
        <v>0</v>
      </c>
      <c r="BM53" s="1">
        <f t="shared" si="36"/>
        <v>0</v>
      </c>
      <c r="BN53" s="1">
        <f t="shared" si="36"/>
        <v>0</v>
      </c>
      <c r="BO53" s="1">
        <f t="shared" si="36"/>
        <v>0</v>
      </c>
      <c r="BP53" s="1">
        <f t="shared" si="36"/>
        <v>0</v>
      </c>
      <c r="BQ53" s="1">
        <f t="shared" si="36"/>
        <v>0</v>
      </c>
      <c r="BR53" s="1">
        <f t="shared" si="36"/>
        <v>0</v>
      </c>
      <c r="BS53" s="1">
        <f t="shared" si="36"/>
        <v>0</v>
      </c>
      <c r="BT53" s="1">
        <f t="shared" si="36"/>
        <v>0</v>
      </c>
      <c r="BU53" s="1">
        <f t="shared" si="36"/>
        <v>0</v>
      </c>
      <c r="BV53" s="1">
        <f t="shared" si="36"/>
        <v>0</v>
      </c>
      <c r="BW53" s="1">
        <f t="shared" si="36"/>
        <v>0</v>
      </c>
      <c r="BX53" s="1">
        <f t="shared" si="27"/>
        <v>0</v>
      </c>
      <c r="BY53" s="1">
        <f t="shared" si="27"/>
        <v>0</v>
      </c>
      <c r="BZ53" s="1">
        <f t="shared" si="27"/>
        <v>0</v>
      </c>
      <c r="CA53" s="1">
        <f t="shared" si="27"/>
        <v>0</v>
      </c>
      <c r="CB53" s="1">
        <f t="shared" si="27"/>
        <v>0</v>
      </c>
      <c r="CC53" s="1">
        <f t="shared" si="27"/>
        <v>0</v>
      </c>
      <c r="CD53" s="1">
        <f t="shared" si="27"/>
        <v>0</v>
      </c>
      <c r="CE53" s="1">
        <f t="shared" si="27"/>
        <v>0</v>
      </c>
      <c r="CF53" s="1">
        <f t="shared" si="27"/>
        <v>0</v>
      </c>
      <c r="CG53" s="1">
        <f t="shared" si="27"/>
        <v>0</v>
      </c>
      <c r="CH53" s="1">
        <f t="shared" si="27"/>
        <v>0</v>
      </c>
      <c r="CI53" s="1">
        <f t="shared" si="27"/>
        <v>0</v>
      </c>
      <c r="CJ53" s="1">
        <f t="shared" si="27"/>
        <v>0</v>
      </c>
      <c r="CK53" s="1">
        <f t="shared" si="27"/>
        <v>0</v>
      </c>
      <c r="CL53" s="1">
        <f t="shared" si="27"/>
        <v>0</v>
      </c>
      <c r="CM53" s="1">
        <f t="shared" si="37"/>
        <v>0</v>
      </c>
      <c r="CN53" s="1">
        <f t="shared" si="37"/>
        <v>0</v>
      </c>
      <c r="CO53" s="1">
        <f t="shared" si="37"/>
        <v>0</v>
      </c>
      <c r="CP53" s="1">
        <f t="shared" si="37"/>
        <v>0</v>
      </c>
      <c r="CQ53" s="1">
        <f t="shared" si="37"/>
        <v>0</v>
      </c>
      <c r="CR53" s="1">
        <f t="shared" si="37"/>
        <v>0</v>
      </c>
      <c r="CS53" s="1">
        <f t="shared" si="37"/>
        <v>0</v>
      </c>
      <c r="CT53" s="1">
        <f t="shared" si="37"/>
        <v>0</v>
      </c>
      <c r="CU53" s="1">
        <f t="shared" si="37"/>
        <v>0</v>
      </c>
      <c r="CV53" s="1">
        <f t="shared" si="37"/>
        <v>0</v>
      </c>
      <c r="CW53" s="1">
        <f t="shared" si="37"/>
        <v>0</v>
      </c>
      <c r="CX53" s="1">
        <f t="shared" si="37"/>
        <v>0</v>
      </c>
      <c r="CY53" s="1">
        <f t="shared" si="37"/>
        <v>0</v>
      </c>
      <c r="CZ53" s="1">
        <f t="shared" si="37"/>
        <v>0</v>
      </c>
      <c r="DA53" s="1">
        <f t="shared" si="37"/>
        <v>0</v>
      </c>
      <c r="DB53" s="1">
        <f t="shared" si="37"/>
        <v>0</v>
      </c>
      <c r="DC53" s="1">
        <f t="shared" si="28"/>
        <v>0</v>
      </c>
      <c r="DD53" s="1">
        <f t="shared" si="28"/>
        <v>0</v>
      </c>
    </row>
    <row r="54" spans="1:108" x14ac:dyDescent="0.2">
      <c r="A54">
        <v>1500</v>
      </c>
      <c r="B54" s="1">
        <f t="shared" si="38"/>
        <v>1.3282079514442266E-6</v>
      </c>
      <c r="C54" s="3">
        <f t="shared" si="29"/>
        <v>2.9796323118459185E-7</v>
      </c>
      <c r="D54" s="5">
        <f t="shared" si="30"/>
        <v>20.616266747759596</v>
      </c>
      <c r="F54" s="1">
        <f t="shared" si="31"/>
        <v>1.3282079514442266E-6</v>
      </c>
      <c r="G54" s="4">
        <f t="shared" si="32"/>
        <v>278.23421119981981</v>
      </c>
      <c r="H54" s="4">
        <f t="shared" si="32"/>
        <v>239.78756508840172</v>
      </c>
      <c r="I54" s="4">
        <f t="shared" si="32"/>
        <v>209.93505138577851</v>
      </c>
      <c r="J54" s="4">
        <f t="shared" si="32"/>
        <v>186.17186111256947</v>
      </c>
      <c r="K54" s="4">
        <f t="shared" si="32"/>
        <v>166.86235840843793</v>
      </c>
      <c r="L54" s="4">
        <f t="shared" si="32"/>
        <v>150.89793395658464</v>
      </c>
      <c r="M54" s="4">
        <f t="shared" si="32"/>
        <v>137.50320760705321</v>
      </c>
      <c r="N54" s="4">
        <f t="shared" si="32"/>
        <v>126.12111141165816</v>
      </c>
      <c r="O54" s="4">
        <f t="shared" si="32"/>
        <v>116.34203281566381</v>
      </c>
      <c r="P54" s="4">
        <f t="shared" si="32"/>
        <v>107.85862809195959</v>
      </c>
      <c r="Q54" s="4">
        <f t="shared" si="32"/>
        <v>0</v>
      </c>
      <c r="R54" s="4">
        <f t="shared" si="32"/>
        <v>0</v>
      </c>
      <c r="S54" s="4">
        <f t="shared" si="32"/>
        <v>0</v>
      </c>
      <c r="T54" s="4">
        <f t="shared" si="32"/>
        <v>0</v>
      </c>
      <c r="U54" s="4">
        <f t="shared" si="32"/>
        <v>0</v>
      </c>
      <c r="V54" s="4">
        <f t="shared" si="32"/>
        <v>0</v>
      </c>
      <c r="W54" s="4">
        <f t="shared" si="26"/>
        <v>0</v>
      </c>
      <c r="X54" s="4">
        <f t="shared" si="26"/>
        <v>0</v>
      </c>
      <c r="Y54" s="4">
        <f t="shared" si="26"/>
        <v>0</v>
      </c>
      <c r="Z54" s="4">
        <f t="shared" si="26"/>
        <v>0</v>
      </c>
      <c r="AA54" s="4">
        <f t="shared" si="26"/>
        <v>0</v>
      </c>
      <c r="AB54" s="4">
        <f t="shared" si="26"/>
        <v>0</v>
      </c>
      <c r="AC54" s="4">
        <f t="shared" si="26"/>
        <v>0</v>
      </c>
      <c r="AD54" s="4">
        <f t="shared" si="26"/>
        <v>0</v>
      </c>
      <c r="AE54" s="4">
        <f t="shared" si="26"/>
        <v>0</v>
      </c>
      <c r="AF54" s="4">
        <f t="shared" si="26"/>
        <v>0</v>
      </c>
      <c r="AG54" s="4">
        <f t="shared" si="26"/>
        <v>0</v>
      </c>
      <c r="AH54" s="4">
        <f t="shared" si="26"/>
        <v>0</v>
      </c>
      <c r="AI54" s="4">
        <f t="shared" si="26"/>
        <v>0</v>
      </c>
      <c r="AJ54" s="4">
        <f t="shared" si="26"/>
        <v>0</v>
      </c>
      <c r="AK54" s="4">
        <f t="shared" si="26"/>
        <v>0</v>
      </c>
      <c r="AL54" s="4">
        <f t="shared" si="33"/>
        <v>0</v>
      </c>
      <c r="AM54" s="4">
        <f t="shared" si="33"/>
        <v>0</v>
      </c>
      <c r="AN54" s="4">
        <f t="shared" si="33"/>
        <v>0</v>
      </c>
      <c r="AO54" s="4">
        <f t="shared" si="33"/>
        <v>0</v>
      </c>
      <c r="AP54" s="4">
        <f t="shared" si="33"/>
        <v>0</v>
      </c>
      <c r="AQ54" s="4">
        <f t="shared" si="33"/>
        <v>0</v>
      </c>
      <c r="AR54" s="4">
        <f t="shared" si="33"/>
        <v>0</v>
      </c>
      <c r="AS54" s="4">
        <f t="shared" si="33"/>
        <v>0</v>
      </c>
      <c r="AT54" s="4">
        <f t="shared" si="33"/>
        <v>0</v>
      </c>
      <c r="AU54" s="4">
        <f t="shared" si="33"/>
        <v>0</v>
      </c>
      <c r="AV54" s="4">
        <f t="shared" si="33"/>
        <v>0</v>
      </c>
      <c r="AW54" s="4">
        <f t="shared" si="33"/>
        <v>0</v>
      </c>
      <c r="AX54" s="4">
        <f t="shared" si="33"/>
        <v>0</v>
      </c>
      <c r="AY54" s="4">
        <f t="shared" si="34"/>
        <v>0</v>
      </c>
      <c r="AZ54" s="4">
        <f t="shared" si="34"/>
        <v>0</v>
      </c>
      <c r="BA54" s="4">
        <f t="shared" si="34"/>
        <v>0</v>
      </c>
      <c r="BB54" s="4">
        <f t="shared" si="34"/>
        <v>0</v>
      </c>
      <c r="BC54" s="4">
        <f t="shared" si="34"/>
        <v>0</v>
      </c>
      <c r="BD54" s="4">
        <f t="shared" si="34"/>
        <v>0</v>
      </c>
      <c r="BF54" s="2">
        <f t="shared" si="35"/>
        <v>1500</v>
      </c>
      <c r="BG54" s="1">
        <f t="shared" si="39"/>
        <v>0</v>
      </c>
      <c r="BH54" s="1">
        <f t="shared" si="36"/>
        <v>0</v>
      </c>
      <c r="BI54" s="1">
        <f t="shared" si="36"/>
        <v>0</v>
      </c>
      <c r="BJ54" s="1">
        <f t="shared" si="36"/>
        <v>0</v>
      </c>
      <c r="BK54" s="1">
        <f t="shared" si="36"/>
        <v>0</v>
      </c>
      <c r="BL54" s="1">
        <f t="shared" si="36"/>
        <v>0</v>
      </c>
      <c r="BM54" s="1">
        <f t="shared" si="36"/>
        <v>0</v>
      </c>
      <c r="BN54" s="1">
        <f t="shared" si="36"/>
        <v>0</v>
      </c>
      <c r="BO54" s="1">
        <f t="shared" si="36"/>
        <v>0</v>
      </c>
      <c r="BP54" s="1">
        <f t="shared" si="36"/>
        <v>0</v>
      </c>
      <c r="BQ54" s="1">
        <f t="shared" si="36"/>
        <v>0</v>
      </c>
      <c r="BR54" s="1">
        <f t="shared" si="36"/>
        <v>0</v>
      </c>
      <c r="BS54" s="1">
        <f t="shared" si="36"/>
        <v>0</v>
      </c>
      <c r="BT54" s="1">
        <f t="shared" si="36"/>
        <v>0</v>
      </c>
      <c r="BU54" s="1">
        <f t="shared" si="36"/>
        <v>0</v>
      </c>
      <c r="BV54" s="1">
        <f t="shared" si="36"/>
        <v>0</v>
      </c>
      <c r="BW54" s="1">
        <f t="shared" si="36"/>
        <v>0</v>
      </c>
      <c r="BX54" s="1">
        <f t="shared" si="27"/>
        <v>0</v>
      </c>
      <c r="BY54" s="1">
        <f t="shared" si="27"/>
        <v>0</v>
      </c>
      <c r="BZ54" s="1">
        <f t="shared" si="27"/>
        <v>0</v>
      </c>
      <c r="CA54" s="1">
        <f t="shared" si="27"/>
        <v>0</v>
      </c>
      <c r="CB54" s="1">
        <f t="shared" si="27"/>
        <v>0</v>
      </c>
      <c r="CC54" s="1">
        <f t="shared" si="27"/>
        <v>0</v>
      </c>
      <c r="CD54" s="1">
        <f t="shared" si="27"/>
        <v>0</v>
      </c>
      <c r="CE54" s="1">
        <f t="shared" si="27"/>
        <v>0</v>
      </c>
      <c r="CF54" s="1">
        <f t="shared" si="27"/>
        <v>0</v>
      </c>
      <c r="CG54" s="1">
        <f t="shared" si="27"/>
        <v>0</v>
      </c>
      <c r="CH54" s="1">
        <f t="shared" si="27"/>
        <v>0</v>
      </c>
      <c r="CI54" s="1">
        <f t="shared" si="27"/>
        <v>0</v>
      </c>
      <c r="CJ54" s="1">
        <f t="shared" si="27"/>
        <v>0</v>
      </c>
      <c r="CK54" s="1">
        <f t="shared" si="27"/>
        <v>0</v>
      </c>
      <c r="CL54" s="1">
        <f t="shared" si="27"/>
        <v>0</v>
      </c>
      <c r="CM54" s="1">
        <f t="shared" si="37"/>
        <v>0</v>
      </c>
      <c r="CN54" s="1">
        <f t="shared" si="37"/>
        <v>0</v>
      </c>
      <c r="CO54" s="1">
        <f t="shared" si="37"/>
        <v>0</v>
      </c>
      <c r="CP54" s="1">
        <f t="shared" si="37"/>
        <v>0</v>
      </c>
      <c r="CQ54" s="1">
        <f t="shared" si="37"/>
        <v>0</v>
      </c>
      <c r="CR54" s="1">
        <f t="shared" si="37"/>
        <v>0</v>
      </c>
      <c r="CS54" s="1">
        <f t="shared" si="37"/>
        <v>0</v>
      </c>
      <c r="CT54" s="1">
        <f t="shared" si="37"/>
        <v>0</v>
      </c>
      <c r="CU54" s="1">
        <f t="shared" si="37"/>
        <v>0</v>
      </c>
      <c r="CV54" s="1">
        <f t="shared" si="37"/>
        <v>0</v>
      </c>
      <c r="CW54" s="1">
        <f t="shared" si="37"/>
        <v>0</v>
      </c>
      <c r="CX54" s="1">
        <f t="shared" si="37"/>
        <v>0</v>
      </c>
      <c r="CY54" s="1">
        <f t="shared" si="37"/>
        <v>0</v>
      </c>
      <c r="CZ54" s="1">
        <f t="shared" si="37"/>
        <v>0</v>
      </c>
      <c r="DA54" s="1">
        <f t="shared" si="37"/>
        <v>0</v>
      </c>
      <c r="DB54" s="1">
        <f t="shared" si="37"/>
        <v>0</v>
      </c>
      <c r="DC54" s="1">
        <f t="shared" si="28"/>
        <v>0</v>
      </c>
      <c r="DD54" s="1">
        <f t="shared" si="28"/>
        <v>0</v>
      </c>
    </row>
    <row r="55" spans="1:108" x14ac:dyDescent="0.2">
      <c r="A55">
        <v>1600</v>
      </c>
      <c r="B55" s="1">
        <f t="shared" si="38"/>
        <v>1.0302447202596348E-6</v>
      </c>
      <c r="C55" s="3">
        <f t="shared" si="29"/>
        <v>2.3111971692808897E-7</v>
      </c>
      <c r="D55" s="5">
        <f t="shared" si="30"/>
        <v>21.155358683511668</v>
      </c>
      <c r="F55" s="1">
        <f t="shared" si="31"/>
        <v>1.0302447202596348E-6</v>
      </c>
      <c r="G55" s="4">
        <f t="shared" si="32"/>
        <v>289.57166506554665</v>
      </c>
      <c r="H55" s="4">
        <f t="shared" si="32"/>
        <v>249.51700753650084</v>
      </c>
      <c r="I55" s="4">
        <f t="shared" si="32"/>
        <v>218.41607058132786</v>
      </c>
      <c r="J55" s="4">
        <f t="shared" si="32"/>
        <v>193.66097448706756</v>
      </c>
      <c r="K55" s="4">
        <f t="shared" si="32"/>
        <v>173.54784657666102</v>
      </c>
      <c r="L55" s="4">
        <f t="shared" si="32"/>
        <v>156.92139732296755</v>
      </c>
      <c r="M55" s="4">
        <f t="shared" si="32"/>
        <v>142.97339880806291</v>
      </c>
      <c r="N55" s="4">
        <f t="shared" si="32"/>
        <v>131.12309498874299</v>
      </c>
      <c r="O55" s="4">
        <f t="shared" si="32"/>
        <v>120.943419791959</v>
      </c>
      <c r="P55" s="4">
        <f t="shared" si="32"/>
        <v>112.11392360809887</v>
      </c>
      <c r="Q55" s="4">
        <f t="shared" si="32"/>
        <v>0</v>
      </c>
      <c r="R55" s="4">
        <f t="shared" si="32"/>
        <v>0</v>
      </c>
      <c r="S55" s="4">
        <f t="shared" si="32"/>
        <v>0</v>
      </c>
      <c r="T55" s="4">
        <f t="shared" si="32"/>
        <v>0</v>
      </c>
      <c r="U55" s="4">
        <f t="shared" si="32"/>
        <v>0</v>
      </c>
      <c r="V55" s="4">
        <f t="shared" si="32"/>
        <v>0</v>
      </c>
      <c r="W55" s="4">
        <f t="shared" si="26"/>
        <v>0</v>
      </c>
      <c r="X55" s="4">
        <f t="shared" si="26"/>
        <v>0</v>
      </c>
      <c r="Y55" s="4">
        <f t="shared" si="26"/>
        <v>0</v>
      </c>
      <c r="Z55" s="4">
        <f t="shared" si="26"/>
        <v>0</v>
      </c>
      <c r="AA55" s="4">
        <f t="shared" si="26"/>
        <v>0</v>
      </c>
      <c r="AB55" s="4">
        <f t="shared" si="26"/>
        <v>0</v>
      </c>
      <c r="AC55" s="4">
        <f t="shared" si="26"/>
        <v>0</v>
      </c>
      <c r="AD55" s="4">
        <f t="shared" si="26"/>
        <v>0</v>
      </c>
      <c r="AE55" s="4">
        <f t="shared" si="26"/>
        <v>0</v>
      </c>
      <c r="AF55" s="4">
        <f t="shared" si="26"/>
        <v>0</v>
      </c>
      <c r="AG55" s="4">
        <f t="shared" si="26"/>
        <v>0</v>
      </c>
      <c r="AH55" s="4">
        <f t="shared" si="26"/>
        <v>0</v>
      </c>
      <c r="AI55" s="4">
        <f t="shared" si="26"/>
        <v>0</v>
      </c>
      <c r="AJ55" s="4">
        <f t="shared" si="26"/>
        <v>0</v>
      </c>
      <c r="AK55" s="4">
        <f t="shared" si="26"/>
        <v>0</v>
      </c>
      <c r="AL55" s="4">
        <f t="shared" si="33"/>
        <v>0</v>
      </c>
      <c r="AM55" s="4">
        <f t="shared" si="33"/>
        <v>0</v>
      </c>
      <c r="AN55" s="4">
        <f t="shared" si="33"/>
        <v>0</v>
      </c>
      <c r="AO55" s="4">
        <f t="shared" si="33"/>
        <v>0</v>
      </c>
      <c r="AP55" s="4">
        <f t="shared" si="33"/>
        <v>0</v>
      </c>
      <c r="AQ55" s="4">
        <f t="shared" si="33"/>
        <v>0</v>
      </c>
      <c r="AR55" s="4">
        <f t="shared" si="33"/>
        <v>0</v>
      </c>
      <c r="AS55" s="4">
        <f t="shared" si="33"/>
        <v>0</v>
      </c>
      <c r="AT55" s="4">
        <f t="shared" si="33"/>
        <v>0</v>
      </c>
      <c r="AU55" s="4">
        <f t="shared" si="33"/>
        <v>0</v>
      </c>
      <c r="AV55" s="4">
        <f t="shared" si="33"/>
        <v>0</v>
      </c>
      <c r="AW55" s="4">
        <f t="shared" si="33"/>
        <v>0</v>
      </c>
      <c r="AX55" s="4">
        <f t="shared" si="33"/>
        <v>0</v>
      </c>
      <c r="AY55" s="4">
        <f t="shared" si="34"/>
        <v>0</v>
      </c>
      <c r="AZ55" s="4">
        <f t="shared" si="34"/>
        <v>0</v>
      </c>
      <c r="BA55" s="4">
        <f t="shared" si="34"/>
        <v>0</v>
      </c>
      <c r="BB55" s="4">
        <f t="shared" si="34"/>
        <v>0</v>
      </c>
      <c r="BC55" s="4">
        <f t="shared" si="34"/>
        <v>0</v>
      </c>
      <c r="BD55" s="4">
        <f t="shared" si="34"/>
        <v>0</v>
      </c>
      <c r="BF55" s="2">
        <f t="shared" si="35"/>
        <v>1600</v>
      </c>
      <c r="BG55" s="1">
        <f t="shared" si="39"/>
        <v>0</v>
      </c>
      <c r="BH55" s="1">
        <f t="shared" si="36"/>
        <v>0</v>
      </c>
      <c r="BI55" s="1">
        <f t="shared" si="36"/>
        <v>0</v>
      </c>
      <c r="BJ55" s="1">
        <f t="shared" si="36"/>
        <v>0</v>
      </c>
      <c r="BK55" s="1">
        <f t="shared" si="36"/>
        <v>0</v>
      </c>
      <c r="BL55" s="1">
        <f t="shared" si="36"/>
        <v>0</v>
      </c>
      <c r="BM55" s="1">
        <f t="shared" si="36"/>
        <v>0</v>
      </c>
      <c r="BN55" s="1">
        <f t="shared" si="36"/>
        <v>0</v>
      </c>
      <c r="BO55" s="1">
        <f t="shared" si="36"/>
        <v>0</v>
      </c>
      <c r="BP55" s="1">
        <f t="shared" si="36"/>
        <v>0</v>
      </c>
      <c r="BQ55" s="1">
        <f t="shared" si="36"/>
        <v>0</v>
      </c>
      <c r="BR55" s="1">
        <f t="shared" si="36"/>
        <v>0</v>
      </c>
      <c r="BS55" s="1">
        <f t="shared" si="36"/>
        <v>0</v>
      </c>
      <c r="BT55" s="1">
        <f t="shared" si="36"/>
        <v>0</v>
      </c>
      <c r="BU55" s="1">
        <f t="shared" si="36"/>
        <v>0</v>
      </c>
      <c r="BV55" s="1">
        <f t="shared" si="36"/>
        <v>0</v>
      </c>
      <c r="BW55" s="1">
        <f t="shared" si="36"/>
        <v>0</v>
      </c>
      <c r="BX55" s="1">
        <f t="shared" si="27"/>
        <v>0</v>
      </c>
      <c r="BY55" s="1">
        <f t="shared" si="27"/>
        <v>0</v>
      </c>
      <c r="BZ55" s="1">
        <f t="shared" si="27"/>
        <v>0</v>
      </c>
      <c r="CA55" s="1">
        <f t="shared" si="27"/>
        <v>0</v>
      </c>
      <c r="CB55" s="1">
        <f t="shared" si="27"/>
        <v>0</v>
      </c>
      <c r="CC55" s="1">
        <f t="shared" si="27"/>
        <v>0</v>
      </c>
      <c r="CD55" s="1">
        <f t="shared" si="27"/>
        <v>0</v>
      </c>
      <c r="CE55" s="1">
        <f t="shared" si="27"/>
        <v>0</v>
      </c>
      <c r="CF55" s="1">
        <f t="shared" si="27"/>
        <v>0</v>
      </c>
      <c r="CG55" s="1">
        <f t="shared" si="27"/>
        <v>0</v>
      </c>
      <c r="CH55" s="1">
        <f t="shared" si="27"/>
        <v>0</v>
      </c>
      <c r="CI55" s="1">
        <f t="shared" si="27"/>
        <v>0</v>
      </c>
      <c r="CJ55" s="1">
        <f t="shared" si="27"/>
        <v>0</v>
      </c>
      <c r="CK55" s="1">
        <f t="shared" si="27"/>
        <v>0</v>
      </c>
      <c r="CL55" s="1">
        <f t="shared" si="27"/>
        <v>0</v>
      </c>
      <c r="CM55" s="1">
        <f t="shared" si="37"/>
        <v>0</v>
      </c>
      <c r="CN55" s="1">
        <f t="shared" si="37"/>
        <v>0</v>
      </c>
      <c r="CO55" s="1">
        <f t="shared" si="37"/>
        <v>0</v>
      </c>
      <c r="CP55" s="1">
        <f t="shared" si="37"/>
        <v>0</v>
      </c>
      <c r="CQ55" s="1">
        <f t="shared" si="37"/>
        <v>0</v>
      </c>
      <c r="CR55" s="1">
        <f t="shared" si="37"/>
        <v>0</v>
      </c>
      <c r="CS55" s="1">
        <f t="shared" si="37"/>
        <v>0</v>
      </c>
      <c r="CT55" s="1">
        <f t="shared" si="37"/>
        <v>0</v>
      </c>
      <c r="CU55" s="1">
        <f t="shared" si="37"/>
        <v>0</v>
      </c>
      <c r="CV55" s="1">
        <f t="shared" si="37"/>
        <v>0</v>
      </c>
      <c r="CW55" s="1">
        <f t="shared" si="37"/>
        <v>0</v>
      </c>
      <c r="CX55" s="1">
        <f t="shared" si="37"/>
        <v>0</v>
      </c>
      <c r="CY55" s="1">
        <f t="shared" si="37"/>
        <v>0</v>
      </c>
      <c r="CZ55" s="1">
        <f t="shared" si="37"/>
        <v>0</v>
      </c>
      <c r="DA55" s="1">
        <f t="shared" si="37"/>
        <v>0</v>
      </c>
      <c r="DB55" s="1">
        <f t="shared" si="37"/>
        <v>0</v>
      </c>
      <c r="DC55" s="1">
        <f t="shared" si="28"/>
        <v>0</v>
      </c>
      <c r="DD55" s="1">
        <f t="shared" si="28"/>
        <v>0</v>
      </c>
    </row>
    <row r="56" spans="1:108" x14ac:dyDescent="0.2">
      <c r="A56">
        <v>1700</v>
      </c>
      <c r="B56" s="1">
        <f t="shared" si="38"/>
        <v>7.9912500333154581E-7</v>
      </c>
      <c r="C56" s="3">
        <f t="shared" si="29"/>
        <v>1.7927152736448862E-7</v>
      </c>
      <c r="D56" s="5">
        <f t="shared" si="30"/>
        <v>21.674591216094459</v>
      </c>
      <c r="F56" s="1">
        <f t="shared" si="31"/>
        <v>7.9912500333154581E-7</v>
      </c>
      <c r="G56" s="4">
        <f t="shared" si="32"/>
        <v>300.79873428402374</v>
      </c>
      <c r="H56" s="4">
        <f t="shared" si="32"/>
        <v>259.1489554309623</v>
      </c>
      <c r="I56" s="4">
        <f t="shared" si="32"/>
        <v>226.80950158397474</v>
      </c>
      <c r="J56" s="4">
        <f t="shared" si="32"/>
        <v>201.07039660948308</v>
      </c>
      <c r="K56" s="4">
        <f t="shared" si="32"/>
        <v>180.16012186489058</v>
      </c>
      <c r="L56" s="4">
        <f t="shared" si="32"/>
        <v>162.87708454103142</v>
      </c>
      <c r="M56" s="4">
        <f t="shared" si="32"/>
        <v>148.38046017343103</v>
      </c>
      <c r="N56" s="4">
        <f t="shared" si="32"/>
        <v>136.06597853066683</v>
      </c>
      <c r="O56" s="4">
        <f t="shared" si="32"/>
        <v>125.4892444280174</v>
      </c>
      <c r="P56" s="4">
        <f t="shared" si="32"/>
        <v>116.31679394295854</v>
      </c>
      <c r="Q56" s="4">
        <f t="shared" si="32"/>
        <v>0</v>
      </c>
      <c r="R56" s="4">
        <f t="shared" si="32"/>
        <v>0</v>
      </c>
      <c r="S56" s="4">
        <f t="shared" si="32"/>
        <v>0</v>
      </c>
      <c r="T56" s="4">
        <f t="shared" si="32"/>
        <v>0</v>
      </c>
      <c r="U56" s="4">
        <f t="shared" si="32"/>
        <v>0</v>
      </c>
      <c r="V56" s="4">
        <f t="shared" si="32"/>
        <v>0</v>
      </c>
      <c r="W56" s="4">
        <f t="shared" si="26"/>
        <v>0</v>
      </c>
      <c r="X56" s="4">
        <f t="shared" si="26"/>
        <v>0</v>
      </c>
      <c r="Y56" s="4">
        <f t="shared" si="26"/>
        <v>0</v>
      </c>
      <c r="Z56" s="4">
        <f t="shared" si="26"/>
        <v>0</v>
      </c>
      <c r="AA56" s="4">
        <f t="shared" si="26"/>
        <v>0</v>
      </c>
      <c r="AB56" s="4">
        <f t="shared" si="26"/>
        <v>0</v>
      </c>
      <c r="AC56" s="4">
        <f t="shared" si="26"/>
        <v>0</v>
      </c>
      <c r="AD56" s="4">
        <f t="shared" si="26"/>
        <v>0</v>
      </c>
      <c r="AE56" s="4">
        <f t="shared" si="26"/>
        <v>0</v>
      </c>
      <c r="AF56" s="4">
        <f t="shared" si="26"/>
        <v>0</v>
      </c>
      <c r="AG56" s="4">
        <f t="shared" si="26"/>
        <v>0</v>
      </c>
      <c r="AH56" s="4">
        <f t="shared" si="26"/>
        <v>0</v>
      </c>
      <c r="AI56" s="4">
        <f t="shared" si="26"/>
        <v>0</v>
      </c>
      <c r="AJ56" s="4">
        <f t="shared" si="26"/>
        <v>0</v>
      </c>
      <c r="AK56" s="4">
        <f t="shared" si="26"/>
        <v>0</v>
      </c>
      <c r="AL56" s="4">
        <f t="shared" si="33"/>
        <v>0</v>
      </c>
      <c r="AM56" s="4">
        <f t="shared" si="33"/>
        <v>0</v>
      </c>
      <c r="AN56" s="4">
        <f t="shared" si="33"/>
        <v>0</v>
      </c>
      <c r="AO56" s="4">
        <f t="shared" si="33"/>
        <v>0</v>
      </c>
      <c r="AP56" s="4">
        <f t="shared" si="33"/>
        <v>0</v>
      </c>
      <c r="AQ56" s="4">
        <f t="shared" si="33"/>
        <v>0</v>
      </c>
      <c r="AR56" s="4">
        <f t="shared" si="33"/>
        <v>0</v>
      </c>
      <c r="AS56" s="4">
        <f t="shared" si="33"/>
        <v>0</v>
      </c>
      <c r="AT56" s="4">
        <f t="shared" si="33"/>
        <v>0</v>
      </c>
      <c r="AU56" s="4">
        <f t="shared" si="33"/>
        <v>0</v>
      </c>
      <c r="AV56" s="4">
        <f t="shared" si="33"/>
        <v>0</v>
      </c>
      <c r="AW56" s="4">
        <f t="shared" si="33"/>
        <v>0</v>
      </c>
      <c r="AX56" s="4">
        <f t="shared" si="33"/>
        <v>0</v>
      </c>
      <c r="AY56" s="4">
        <f t="shared" si="34"/>
        <v>0</v>
      </c>
      <c r="AZ56" s="4">
        <f t="shared" si="34"/>
        <v>0</v>
      </c>
      <c r="BA56" s="4">
        <f t="shared" si="34"/>
        <v>0</v>
      </c>
      <c r="BB56" s="4">
        <f t="shared" si="34"/>
        <v>0</v>
      </c>
      <c r="BC56" s="4">
        <f t="shared" si="34"/>
        <v>0</v>
      </c>
      <c r="BD56" s="4">
        <f t="shared" si="34"/>
        <v>0</v>
      </c>
      <c r="BF56" s="2">
        <f t="shared" si="35"/>
        <v>1700</v>
      </c>
      <c r="BG56" s="1">
        <f t="shared" si="39"/>
        <v>0</v>
      </c>
      <c r="BH56" s="1">
        <f t="shared" si="36"/>
        <v>0</v>
      </c>
      <c r="BI56" s="1">
        <f t="shared" si="36"/>
        <v>0</v>
      </c>
      <c r="BJ56" s="1">
        <f t="shared" si="36"/>
        <v>0</v>
      </c>
      <c r="BK56" s="1">
        <f t="shared" si="36"/>
        <v>0</v>
      </c>
      <c r="BL56" s="1">
        <f t="shared" si="36"/>
        <v>0</v>
      </c>
      <c r="BM56" s="1">
        <f t="shared" si="36"/>
        <v>0</v>
      </c>
      <c r="BN56" s="1">
        <f t="shared" si="36"/>
        <v>0</v>
      </c>
      <c r="BO56" s="1">
        <f t="shared" si="36"/>
        <v>0</v>
      </c>
      <c r="BP56" s="1">
        <f t="shared" si="36"/>
        <v>0</v>
      </c>
      <c r="BQ56" s="1">
        <f t="shared" si="36"/>
        <v>0</v>
      </c>
      <c r="BR56" s="1">
        <f t="shared" si="36"/>
        <v>0</v>
      </c>
      <c r="BS56" s="1">
        <f t="shared" si="36"/>
        <v>0</v>
      </c>
      <c r="BT56" s="1">
        <f t="shared" si="36"/>
        <v>0</v>
      </c>
      <c r="BU56" s="1">
        <f t="shared" si="36"/>
        <v>0</v>
      </c>
      <c r="BV56" s="1">
        <f t="shared" si="36"/>
        <v>0</v>
      </c>
      <c r="BW56" s="1">
        <f t="shared" si="36"/>
        <v>0</v>
      </c>
      <c r="BX56" s="1">
        <f t="shared" si="27"/>
        <v>0</v>
      </c>
      <c r="BY56" s="1">
        <f t="shared" si="27"/>
        <v>0</v>
      </c>
      <c r="BZ56" s="1">
        <f t="shared" si="27"/>
        <v>0</v>
      </c>
      <c r="CA56" s="1">
        <f t="shared" si="27"/>
        <v>0</v>
      </c>
      <c r="CB56" s="1">
        <f t="shared" si="27"/>
        <v>0</v>
      </c>
      <c r="CC56" s="1">
        <f t="shared" si="27"/>
        <v>0</v>
      </c>
      <c r="CD56" s="1">
        <f t="shared" si="27"/>
        <v>0</v>
      </c>
      <c r="CE56" s="1">
        <f t="shared" si="27"/>
        <v>0</v>
      </c>
      <c r="CF56" s="1">
        <f t="shared" si="27"/>
        <v>0</v>
      </c>
      <c r="CG56" s="1">
        <f t="shared" si="27"/>
        <v>0</v>
      </c>
      <c r="CH56" s="1">
        <f t="shared" si="27"/>
        <v>0</v>
      </c>
      <c r="CI56" s="1">
        <f t="shared" si="27"/>
        <v>0</v>
      </c>
      <c r="CJ56" s="1">
        <f t="shared" si="27"/>
        <v>0</v>
      </c>
      <c r="CK56" s="1">
        <f t="shared" si="27"/>
        <v>0</v>
      </c>
      <c r="CL56" s="1">
        <f t="shared" si="27"/>
        <v>0</v>
      </c>
      <c r="CM56" s="1">
        <f t="shared" si="37"/>
        <v>0</v>
      </c>
      <c r="CN56" s="1">
        <f t="shared" si="37"/>
        <v>0</v>
      </c>
      <c r="CO56" s="1">
        <f t="shared" si="37"/>
        <v>0</v>
      </c>
      <c r="CP56" s="1">
        <f t="shared" si="37"/>
        <v>0</v>
      </c>
      <c r="CQ56" s="1">
        <f t="shared" si="37"/>
        <v>0</v>
      </c>
      <c r="CR56" s="1">
        <f t="shared" si="37"/>
        <v>0</v>
      </c>
      <c r="CS56" s="1">
        <f t="shared" si="37"/>
        <v>0</v>
      </c>
      <c r="CT56" s="1">
        <f t="shared" si="37"/>
        <v>0</v>
      </c>
      <c r="CU56" s="1">
        <f t="shared" si="37"/>
        <v>0</v>
      </c>
      <c r="CV56" s="1">
        <f t="shared" si="37"/>
        <v>0</v>
      </c>
      <c r="CW56" s="1">
        <f t="shared" si="37"/>
        <v>0</v>
      </c>
      <c r="CX56" s="1">
        <f t="shared" si="37"/>
        <v>0</v>
      </c>
      <c r="CY56" s="1">
        <f t="shared" si="37"/>
        <v>0</v>
      </c>
      <c r="CZ56" s="1">
        <f t="shared" si="37"/>
        <v>0</v>
      </c>
      <c r="DA56" s="1">
        <f t="shared" si="37"/>
        <v>0</v>
      </c>
      <c r="DB56" s="1">
        <f t="shared" si="37"/>
        <v>0</v>
      </c>
      <c r="DC56" s="1">
        <f t="shared" si="28"/>
        <v>0</v>
      </c>
      <c r="DD56" s="1">
        <f t="shared" si="28"/>
        <v>0</v>
      </c>
    </row>
    <row r="57" spans="1:108" x14ac:dyDescent="0.2">
      <c r="A57">
        <v>1800</v>
      </c>
      <c r="B57" s="1">
        <f t="shared" si="38"/>
        <v>6.1985347596705719E-7</v>
      </c>
      <c r="C57" s="3">
        <f t="shared" si="29"/>
        <v>1.3905468971129002E-7</v>
      </c>
      <c r="D57" s="5">
        <f t="shared" si="30"/>
        <v>22.175803055484462</v>
      </c>
      <c r="F57" s="1">
        <f t="shared" si="31"/>
        <v>6.1985347596705719E-7</v>
      </c>
      <c r="G57" s="4">
        <f t="shared" si="32"/>
        <v>311.9365012844392</v>
      </c>
      <c r="H57" s="4">
        <f t="shared" si="32"/>
        <v>268.70155446997251</v>
      </c>
      <c r="I57" s="4">
        <f t="shared" si="32"/>
        <v>235.13123338009237</v>
      </c>
      <c r="J57" s="4">
        <f t="shared" si="32"/>
        <v>208.41423253901388</v>
      </c>
      <c r="K57" s="4">
        <f t="shared" si="32"/>
        <v>186.71184621139932</v>
      </c>
      <c r="L57" s="4">
        <f t="shared" si="32"/>
        <v>168.77646756984944</v>
      </c>
      <c r="M57" s="4">
        <f t="shared" si="32"/>
        <v>153.73486650515494</v>
      </c>
      <c r="N57" s="4">
        <f t="shared" si="32"/>
        <v>140.95938973977997</v>
      </c>
      <c r="O57" s="4">
        <f t="shared" si="32"/>
        <v>129.98840627681977</v>
      </c>
      <c r="P57" s="4">
        <f t="shared" si="32"/>
        <v>120.47550631397786</v>
      </c>
      <c r="Q57" s="4">
        <f t="shared" si="32"/>
        <v>0</v>
      </c>
      <c r="R57" s="4">
        <f t="shared" si="32"/>
        <v>0</v>
      </c>
      <c r="S57" s="4">
        <f t="shared" si="32"/>
        <v>0</v>
      </c>
      <c r="T57" s="4">
        <f t="shared" si="32"/>
        <v>0</v>
      </c>
      <c r="U57" s="4">
        <f t="shared" si="32"/>
        <v>0</v>
      </c>
      <c r="V57" s="4">
        <f t="shared" ref="V57:AK72" si="40">IF(V$9=0, 0,MIN($D57/($D57+V$9)*$A57, 1000*10^(0.08*(LOG(($D57+V$9)/$D57)+0.2-0.02*$A57/1000)^4-0.592*(LOG(($D57+V$9)/$D57)+0.2-0.02*$A57/1000)^3+1.63*(LOG(($D57+V$9)/$D57)+0.2-0.02*$A57/1000)^2-3.28*(LOG(($D57+V$9)/$D57)+0.2-0.02*$A57/1000)+1.39)))</f>
        <v>0</v>
      </c>
      <c r="W57" s="4">
        <f t="shared" si="40"/>
        <v>0</v>
      </c>
      <c r="X57" s="4">
        <f t="shared" si="40"/>
        <v>0</v>
      </c>
      <c r="Y57" s="4">
        <f t="shared" si="40"/>
        <v>0</v>
      </c>
      <c r="Z57" s="4">
        <f t="shared" si="40"/>
        <v>0</v>
      </c>
      <c r="AA57" s="4">
        <f t="shared" si="40"/>
        <v>0</v>
      </c>
      <c r="AB57" s="4">
        <f t="shared" si="40"/>
        <v>0</v>
      </c>
      <c r="AC57" s="4">
        <f t="shared" si="40"/>
        <v>0</v>
      </c>
      <c r="AD57" s="4">
        <f t="shared" si="40"/>
        <v>0</v>
      </c>
      <c r="AE57" s="4">
        <f t="shared" si="40"/>
        <v>0</v>
      </c>
      <c r="AF57" s="4">
        <f t="shared" si="40"/>
        <v>0</v>
      </c>
      <c r="AG57" s="4">
        <f t="shared" si="40"/>
        <v>0</v>
      </c>
      <c r="AH57" s="4">
        <f t="shared" si="40"/>
        <v>0</v>
      </c>
      <c r="AI57" s="4">
        <f t="shared" si="40"/>
        <v>0</v>
      </c>
      <c r="AJ57" s="4">
        <f t="shared" si="40"/>
        <v>0</v>
      </c>
      <c r="AK57" s="4">
        <f t="shared" si="40"/>
        <v>0</v>
      </c>
      <c r="AL57" s="4">
        <f t="shared" si="33"/>
        <v>0</v>
      </c>
      <c r="AM57" s="4">
        <f t="shared" si="33"/>
        <v>0</v>
      </c>
      <c r="AN57" s="4">
        <f t="shared" si="33"/>
        <v>0</v>
      </c>
      <c r="AO57" s="4">
        <f t="shared" si="33"/>
        <v>0</v>
      </c>
      <c r="AP57" s="4">
        <f t="shared" si="33"/>
        <v>0</v>
      </c>
      <c r="AQ57" s="4">
        <f t="shared" si="33"/>
        <v>0</v>
      </c>
      <c r="AR57" s="4">
        <f t="shared" si="33"/>
        <v>0</v>
      </c>
      <c r="AS57" s="4">
        <f t="shared" si="33"/>
        <v>0</v>
      </c>
      <c r="AT57" s="4">
        <f t="shared" si="33"/>
        <v>0</v>
      </c>
      <c r="AU57" s="4">
        <f t="shared" si="33"/>
        <v>0</v>
      </c>
      <c r="AV57" s="4">
        <f t="shared" si="33"/>
        <v>0</v>
      </c>
      <c r="AW57" s="4">
        <f t="shared" si="33"/>
        <v>0</v>
      </c>
      <c r="AX57" s="4">
        <f t="shared" si="33"/>
        <v>0</v>
      </c>
      <c r="AY57" s="4">
        <f t="shared" si="34"/>
        <v>0</v>
      </c>
      <c r="AZ57" s="4">
        <f t="shared" si="34"/>
        <v>0</v>
      </c>
      <c r="BA57" s="4">
        <f t="shared" si="34"/>
        <v>0</v>
      </c>
      <c r="BB57" s="4">
        <f t="shared" si="34"/>
        <v>0</v>
      </c>
      <c r="BC57" s="4">
        <f t="shared" si="34"/>
        <v>0</v>
      </c>
      <c r="BD57" s="4">
        <f t="shared" si="34"/>
        <v>0</v>
      </c>
      <c r="BF57" s="2">
        <f t="shared" si="35"/>
        <v>1800</v>
      </c>
      <c r="BG57" s="1">
        <f t="shared" si="39"/>
        <v>0</v>
      </c>
      <c r="BH57" s="1">
        <f t="shared" si="36"/>
        <v>0</v>
      </c>
      <c r="BI57" s="1">
        <f t="shared" si="36"/>
        <v>0</v>
      </c>
      <c r="BJ57" s="1">
        <f t="shared" si="36"/>
        <v>0</v>
      </c>
      <c r="BK57" s="1">
        <f t="shared" si="36"/>
        <v>0</v>
      </c>
      <c r="BL57" s="1">
        <f t="shared" si="36"/>
        <v>0</v>
      </c>
      <c r="BM57" s="1">
        <f t="shared" si="36"/>
        <v>0</v>
      </c>
      <c r="BN57" s="1">
        <f t="shared" si="36"/>
        <v>0</v>
      </c>
      <c r="BO57" s="1">
        <f t="shared" si="36"/>
        <v>0</v>
      </c>
      <c r="BP57" s="1">
        <f t="shared" si="36"/>
        <v>0</v>
      </c>
      <c r="BQ57" s="1">
        <f t="shared" si="36"/>
        <v>0</v>
      </c>
      <c r="BR57" s="1">
        <f t="shared" si="36"/>
        <v>0</v>
      </c>
      <c r="BS57" s="1">
        <f t="shared" si="36"/>
        <v>0</v>
      </c>
      <c r="BT57" s="1">
        <f t="shared" si="36"/>
        <v>0</v>
      </c>
      <c r="BU57" s="1">
        <f t="shared" si="36"/>
        <v>0</v>
      </c>
      <c r="BV57" s="1">
        <f t="shared" si="36"/>
        <v>0</v>
      </c>
      <c r="BW57" s="1">
        <f t="shared" ref="BW57:CL72" si="41">LOOKUP($A57,W57:W127,$B57:$B127)</f>
        <v>0</v>
      </c>
      <c r="BX57" s="1">
        <f t="shared" si="41"/>
        <v>0</v>
      </c>
      <c r="BY57" s="1">
        <f t="shared" si="41"/>
        <v>0</v>
      </c>
      <c r="BZ57" s="1">
        <f t="shared" si="41"/>
        <v>0</v>
      </c>
      <c r="CA57" s="1">
        <f t="shared" si="41"/>
        <v>0</v>
      </c>
      <c r="CB57" s="1">
        <f t="shared" si="41"/>
        <v>0</v>
      </c>
      <c r="CC57" s="1">
        <f t="shared" si="41"/>
        <v>0</v>
      </c>
      <c r="CD57" s="1">
        <f t="shared" si="41"/>
        <v>0</v>
      </c>
      <c r="CE57" s="1">
        <f t="shared" si="41"/>
        <v>0</v>
      </c>
      <c r="CF57" s="1">
        <f t="shared" si="41"/>
        <v>0</v>
      </c>
      <c r="CG57" s="1">
        <f t="shared" si="41"/>
        <v>0</v>
      </c>
      <c r="CH57" s="1">
        <f t="shared" si="41"/>
        <v>0</v>
      </c>
      <c r="CI57" s="1">
        <f t="shared" si="41"/>
        <v>0</v>
      </c>
      <c r="CJ57" s="1">
        <f t="shared" si="41"/>
        <v>0</v>
      </c>
      <c r="CK57" s="1">
        <f t="shared" si="41"/>
        <v>0</v>
      </c>
      <c r="CL57" s="1">
        <f t="shared" si="41"/>
        <v>0</v>
      </c>
      <c r="CM57" s="1">
        <f t="shared" si="37"/>
        <v>0</v>
      </c>
      <c r="CN57" s="1">
        <f t="shared" si="37"/>
        <v>0</v>
      </c>
      <c r="CO57" s="1">
        <f t="shared" si="37"/>
        <v>0</v>
      </c>
      <c r="CP57" s="1">
        <f t="shared" si="37"/>
        <v>0</v>
      </c>
      <c r="CQ57" s="1">
        <f t="shared" si="37"/>
        <v>0</v>
      </c>
      <c r="CR57" s="1">
        <f t="shared" si="37"/>
        <v>0</v>
      </c>
      <c r="CS57" s="1">
        <f t="shared" si="37"/>
        <v>0</v>
      </c>
      <c r="CT57" s="1">
        <f t="shared" si="37"/>
        <v>0</v>
      </c>
      <c r="CU57" s="1">
        <f t="shared" si="37"/>
        <v>0</v>
      </c>
      <c r="CV57" s="1">
        <f t="shared" si="37"/>
        <v>0</v>
      </c>
      <c r="CW57" s="1">
        <f t="shared" si="37"/>
        <v>0</v>
      </c>
      <c r="CX57" s="1">
        <f t="shared" si="37"/>
        <v>0</v>
      </c>
      <c r="CY57" s="1">
        <f t="shared" si="37"/>
        <v>0</v>
      </c>
      <c r="CZ57" s="1">
        <f t="shared" si="37"/>
        <v>0</v>
      </c>
      <c r="DA57" s="1">
        <f t="shared" si="37"/>
        <v>0</v>
      </c>
      <c r="DB57" s="1">
        <f t="shared" ref="DB57:DD72" si="42">LOOKUP($A57,BB57:BB127,$B57:$B127)</f>
        <v>0</v>
      </c>
      <c r="DC57" s="1">
        <f t="shared" si="42"/>
        <v>0</v>
      </c>
      <c r="DD57" s="1">
        <f t="shared" si="42"/>
        <v>0</v>
      </c>
    </row>
    <row r="58" spans="1:108" x14ac:dyDescent="0.2">
      <c r="A58">
        <v>1900</v>
      </c>
      <c r="B58" s="1">
        <f t="shared" si="38"/>
        <v>4.8079878625576716E-7</v>
      </c>
      <c r="C58" s="3">
        <f t="shared" si="29"/>
        <v>1.0785988726134643E-7</v>
      </c>
      <c r="D58" s="5">
        <f t="shared" si="30"/>
        <v>22.660571315922038</v>
      </c>
      <c r="F58" s="1">
        <f t="shared" si="31"/>
        <v>4.8079878625576716E-7</v>
      </c>
      <c r="G58" s="4">
        <f t="shared" ref="G58:V73" si="43">IF(G$9=0, 0,MIN($D58/($D58+G$9)*$A58, 1000*10^(0.08*(LOG(($D58+G$9)/$D58)+0.2-0.02*$A58/1000)^4-0.592*(LOG(($D58+G$9)/$D58)+0.2-0.02*$A58/1000)^3+1.63*(LOG(($D58+G$9)/$D58)+0.2-0.02*$A58/1000)^2-3.28*(LOG(($D58+G$9)/$D58)+0.2-0.02*$A58/1000)+1.39)))</f>
        <v>323.00327969367152</v>
      </c>
      <c r="H58" s="4">
        <f t="shared" si="43"/>
        <v>278.19055551476174</v>
      </c>
      <c r="I58" s="4">
        <f t="shared" si="43"/>
        <v>243.39504846413851</v>
      </c>
      <c r="J58" s="4">
        <f t="shared" si="43"/>
        <v>215.70470970794094</v>
      </c>
      <c r="K58" s="4">
        <f t="shared" si="43"/>
        <v>193.21398987859018</v>
      </c>
      <c r="L58" s="4">
        <f t="shared" si="43"/>
        <v>174.6294807047253</v>
      </c>
      <c r="M58" s="4">
        <f t="shared" si="43"/>
        <v>159.04568455895645</v>
      </c>
      <c r="N58" s="4">
        <f t="shared" si="43"/>
        <v>145.8116588450531</v>
      </c>
      <c r="O58" s="4">
        <f t="shared" si="43"/>
        <v>134.44860284223881</v>
      </c>
      <c r="P58" s="4">
        <f t="shared" si="43"/>
        <v>124.5972090679211</v>
      </c>
      <c r="Q58" s="4">
        <f t="shared" si="43"/>
        <v>0</v>
      </c>
      <c r="R58" s="4">
        <f t="shared" si="43"/>
        <v>0</v>
      </c>
      <c r="S58" s="4">
        <f t="shared" si="43"/>
        <v>0</v>
      </c>
      <c r="T58" s="4">
        <f t="shared" si="43"/>
        <v>0</v>
      </c>
      <c r="U58" s="4">
        <f t="shared" si="43"/>
        <v>0</v>
      </c>
      <c r="V58" s="4">
        <f t="shared" si="43"/>
        <v>0</v>
      </c>
      <c r="W58" s="4">
        <f t="shared" si="40"/>
        <v>0</v>
      </c>
      <c r="X58" s="4">
        <f t="shared" si="40"/>
        <v>0</v>
      </c>
      <c r="Y58" s="4">
        <f t="shared" si="40"/>
        <v>0</v>
      </c>
      <c r="Z58" s="4">
        <f t="shared" si="40"/>
        <v>0</v>
      </c>
      <c r="AA58" s="4">
        <f t="shared" si="40"/>
        <v>0</v>
      </c>
      <c r="AB58" s="4">
        <f t="shared" si="40"/>
        <v>0</v>
      </c>
      <c r="AC58" s="4">
        <f t="shared" si="40"/>
        <v>0</v>
      </c>
      <c r="AD58" s="4">
        <f t="shared" si="40"/>
        <v>0</v>
      </c>
      <c r="AE58" s="4">
        <f t="shared" si="40"/>
        <v>0</v>
      </c>
      <c r="AF58" s="4">
        <f t="shared" si="40"/>
        <v>0</v>
      </c>
      <c r="AG58" s="4">
        <f t="shared" si="40"/>
        <v>0</v>
      </c>
      <c r="AH58" s="4">
        <f t="shared" si="40"/>
        <v>0</v>
      </c>
      <c r="AI58" s="4">
        <f t="shared" si="40"/>
        <v>0</v>
      </c>
      <c r="AJ58" s="4">
        <f t="shared" si="40"/>
        <v>0</v>
      </c>
      <c r="AK58" s="4">
        <f t="shared" si="40"/>
        <v>0</v>
      </c>
      <c r="AL58" s="4">
        <f t="shared" ref="AL58:AX73" si="44">IF(AL$9=0, 0,MIN($D58/($D58+AL$9)*$A58, 1000*10^(0.08*(LOG(($D58+AL$9)/$D58)+0.2-0.02*$A58/1000)^4-0.592*(LOG(($D58+AL$9)/$D58)+0.2-0.02*$A58/1000)^3+1.63*(LOG(($D58+AL$9)/$D58)+0.2-0.02*$A58/1000)^2-3.28*(LOG(($D58+AL$9)/$D58)+0.2-0.02*$A58/1000)+1.39)))</f>
        <v>0</v>
      </c>
      <c r="AM58" s="4">
        <f t="shared" si="44"/>
        <v>0</v>
      </c>
      <c r="AN58" s="4">
        <f t="shared" si="44"/>
        <v>0</v>
      </c>
      <c r="AO58" s="4">
        <f t="shared" si="44"/>
        <v>0</v>
      </c>
      <c r="AP58" s="4">
        <f t="shared" si="44"/>
        <v>0</v>
      </c>
      <c r="AQ58" s="4">
        <f t="shared" si="44"/>
        <v>0</v>
      </c>
      <c r="AR58" s="4">
        <f t="shared" si="44"/>
        <v>0</v>
      </c>
      <c r="AS58" s="4">
        <f t="shared" si="44"/>
        <v>0</v>
      </c>
      <c r="AT58" s="4">
        <f t="shared" si="44"/>
        <v>0</v>
      </c>
      <c r="AU58" s="4">
        <f t="shared" si="44"/>
        <v>0</v>
      </c>
      <c r="AV58" s="4">
        <f t="shared" si="44"/>
        <v>0</v>
      </c>
      <c r="AW58" s="4">
        <f t="shared" si="44"/>
        <v>0</v>
      </c>
      <c r="AX58" s="4">
        <f t="shared" si="44"/>
        <v>0</v>
      </c>
      <c r="AY58" s="4">
        <f t="shared" ref="AY58:BD73" si="45">IF(AY$9=0, 0,MIN($D58/($D58+AY$9)*$A58, 1000*10^(0.08*(LOG(($D58+AY$9)/$D58)+0.2-0.02*$A58/1000)^4-0.592*(LOG(($D58+AY$9)/$D58)+0.2-0.02*$A58/1000)^3+1.63*(LOG(($D58+AY$9)/$D58)+0.2-0.02*$A58/1000)^2-3.28*(LOG(($D58+AY$9)/$D58)+0.2-0.02*$A58/1000)+1.39)))</f>
        <v>0</v>
      </c>
      <c r="AZ58" s="4">
        <f t="shared" si="45"/>
        <v>0</v>
      </c>
      <c r="BA58" s="4">
        <f t="shared" si="45"/>
        <v>0</v>
      </c>
      <c r="BB58" s="4">
        <f t="shared" si="45"/>
        <v>0</v>
      </c>
      <c r="BC58" s="4">
        <f t="shared" si="45"/>
        <v>0</v>
      </c>
      <c r="BD58" s="4">
        <f t="shared" si="45"/>
        <v>0</v>
      </c>
      <c r="BF58" s="2">
        <f t="shared" si="35"/>
        <v>1900</v>
      </c>
      <c r="BG58" s="1">
        <f t="shared" si="39"/>
        <v>0</v>
      </c>
      <c r="BH58" s="1">
        <f t="shared" ref="BH58:BW73" si="46">LOOKUP($A58,H58:H128,$B58:$B128)</f>
        <v>0</v>
      </c>
      <c r="BI58" s="1">
        <f t="shared" si="46"/>
        <v>0</v>
      </c>
      <c r="BJ58" s="1">
        <f t="shared" si="46"/>
        <v>0</v>
      </c>
      <c r="BK58" s="1">
        <f t="shared" si="46"/>
        <v>0</v>
      </c>
      <c r="BL58" s="1">
        <f t="shared" si="46"/>
        <v>0</v>
      </c>
      <c r="BM58" s="1">
        <f t="shared" si="46"/>
        <v>0</v>
      </c>
      <c r="BN58" s="1">
        <f t="shared" si="46"/>
        <v>0</v>
      </c>
      <c r="BO58" s="1">
        <f t="shared" si="46"/>
        <v>0</v>
      </c>
      <c r="BP58" s="1">
        <f t="shared" si="46"/>
        <v>0</v>
      </c>
      <c r="BQ58" s="1">
        <f t="shared" si="46"/>
        <v>0</v>
      </c>
      <c r="BR58" s="1">
        <f t="shared" si="46"/>
        <v>0</v>
      </c>
      <c r="BS58" s="1">
        <f t="shared" si="46"/>
        <v>0</v>
      </c>
      <c r="BT58" s="1">
        <f t="shared" si="46"/>
        <v>0</v>
      </c>
      <c r="BU58" s="1">
        <f t="shared" si="46"/>
        <v>0</v>
      </c>
      <c r="BV58" s="1">
        <f t="shared" si="46"/>
        <v>0</v>
      </c>
      <c r="BW58" s="1">
        <f t="shared" si="46"/>
        <v>0</v>
      </c>
      <c r="BX58" s="1">
        <f t="shared" si="41"/>
        <v>0</v>
      </c>
      <c r="BY58" s="1">
        <f t="shared" si="41"/>
        <v>0</v>
      </c>
      <c r="BZ58" s="1">
        <f t="shared" si="41"/>
        <v>0</v>
      </c>
      <c r="CA58" s="1">
        <f t="shared" si="41"/>
        <v>0</v>
      </c>
      <c r="CB58" s="1">
        <f t="shared" si="41"/>
        <v>0</v>
      </c>
      <c r="CC58" s="1">
        <f t="shared" si="41"/>
        <v>0</v>
      </c>
      <c r="CD58" s="1">
        <f t="shared" si="41"/>
        <v>0</v>
      </c>
      <c r="CE58" s="1">
        <f t="shared" si="41"/>
        <v>0</v>
      </c>
      <c r="CF58" s="1">
        <f t="shared" si="41"/>
        <v>0</v>
      </c>
      <c r="CG58" s="1">
        <f t="shared" si="41"/>
        <v>0</v>
      </c>
      <c r="CH58" s="1">
        <f t="shared" si="41"/>
        <v>0</v>
      </c>
      <c r="CI58" s="1">
        <f t="shared" si="41"/>
        <v>0</v>
      </c>
      <c r="CJ58" s="1">
        <f t="shared" si="41"/>
        <v>0</v>
      </c>
      <c r="CK58" s="1">
        <f t="shared" si="41"/>
        <v>0</v>
      </c>
      <c r="CL58" s="1">
        <f t="shared" si="41"/>
        <v>0</v>
      </c>
      <c r="CM58" s="1">
        <f t="shared" ref="CM58:DB73" si="47">LOOKUP($A58,AM58:AM128,$B58:$B128)</f>
        <v>0</v>
      </c>
      <c r="CN58" s="1">
        <f t="shared" si="47"/>
        <v>0</v>
      </c>
      <c r="CO58" s="1">
        <f t="shared" si="47"/>
        <v>0</v>
      </c>
      <c r="CP58" s="1">
        <f t="shared" si="47"/>
        <v>0</v>
      </c>
      <c r="CQ58" s="1">
        <f t="shared" si="47"/>
        <v>0</v>
      </c>
      <c r="CR58" s="1">
        <f t="shared" si="47"/>
        <v>0</v>
      </c>
      <c r="CS58" s="1">
        <f t="shared" si="47"/>
        <v>0</v>
      </c>
      <c r="CT58" s="1">
        <f t="shared" si="47"/>
        <v>0</v>
      </c>
      <c r="CU58" s="1">
        <f t="shared" si="47"/>
        <v>0</v>
      </c>
      <c r="CV58" s="1">
        <f t="shared" si="47"/>
        <v>0</v>
      </c>
      <c r="CW58" s="1">
        <f t="shared" si="47"/>
        <v>0</v>
      </c>
      <c r="CX58" s="1">
        <f t="shared" si="47"/>
        <v>0</v>
      </c>
      <c r="CY58" s="1">
        <f t="shared" si="47"/>
        <v>0</v>
      </c>
      <c r="CZ58" s="1">
        <f t="shared" si="47"/>
        <v>0</v>
      </c>
      <c r="DA58" s="1">
        <f t="shared" si="47"/>
        <v>0</v>
      </c>
      <c r="DB58" s="1">
        <f t="shared" si="47"/>
        <v>0</v>
      </c>
      <c r="DC58" s="1">
        <f t="shared" si="42"/>
        <v>0</v>
      </c>
      <c r="DD58" s="1">
        <f t="shared" si="42"/>
        <v>0</v>
      </c>
    </row>
    <row r="59" spans="1:108" x14ac:dyDescent="0.2">
      <c r="A59">
        <v>2000</v>
      </c>
      <c r="B59" s="1">
        <f t="shared" ref="B59:B74" si="48">IF(A59&lt;($E$2+0.001),EXP(($E$2-A59)/($E$2)*(LN($B$5)-LN($B$5*0.001))+LN($B$5*0.001)),0)</f>
        <v>3.7293889899442073E-7</v>
      </c>
      <c r="C59" s="3">
        <f t="shared" si="29"/>
        <v>1.4855777058954836E-7</v>
      </c>
      <c r="D59" s="5">
        <f t="shared" si="30"/>
        <v>23.130260389559027</v>
      </c>
      <c r="F59" s="1">
        <f t="shared" si="31"/>
        <v>3.7293889899442073E-7</v>
      </c>
      <c r="G59" s="4">
        <f t="shared" si="43"/>
        <v>334.01513128916696</v>
      </c>
      <c r="H59" s="4">
        <f t="shared" si="43"/>
        <v>287.62976199244554</v>
      </c>
      <c r="I59" s="4">
        <f t="shared" si="43"/>
        <v>251.61301652229236</v>
      </c>
      <c r="J59" s="4">
        <f t="shared" si="43"/>
        <v>222.95252890336715</v>
      </c>
      <c r="K59" s="4">
        <f t="shared" si="43"/>
        <v>199.67614769572609</v>
      </c>
      <c r="L59" s="4">
        <f t="shared" si="43"/>
        <v>180.44480801715716</v>
      </c>
      <c r="M59" s="4">
        <f t="shared" si="43"/>
        <v>164.3208362224031</v>
      </c>
      <c r="N59" s="4">
        <f t="shared" si="43"/>
        <v>150.63006106825054</v>
      </c>
      <c r="O59" s="4">
        <f t="shared" si="43"/>
        <v>138.87655416040715</v>
      </c>
      <c r="P59" s="4">
        <f t="shared" si="43"/>
        <v>128.68814066533508</v>
      </c>
      <c r="Q59" s="4">
        <f t="shared" si="43"/>
        <v>0</v>
      </c>
      <c r="R59" s="4">
        <f t="shared" si="43"/>
        <v>0</v>
      </c>
      <c r="S59" s="4">
        <f t="shared" si="43"/>
        <v>0</v>
      </c>
      <c r="T59" s="4">
        <f t="shared" si="43"/>
        <v>0</v>
      </c>
      <c r="U59" s="4">
        <f t="shared" si="43"/>
        <v>0</v>
      </c>
      <c r="V59" s="4">
        <f t="shared" si="43"/>
        <v>0</v>
      </c>
      <c r="W59" s="4">
        <f t="shared" si="40"/>
        <v>0</v>
      </c>
      <c r="X59" s="4">
        <f t="shared" si="40"/>
        <v>0</v>
      </c>
      <c r="Y59" s="4">
        <f t="shared" si="40"/>
        <v>0</v>
      </c>
      <c r="Z59" s="4">
        <f t="shared" si="40"/>
        <v>0</v>
      </c>
      <c r="AA59" s="4">
        <f t="shared" si="40"/>
        <v>0</v>
      </c>
      <c r="AB59" s="4">
        <f t="shared" si="40"/>
        <v>0</v>
      </c>
      <c r="AC59" s="4">
        <f t="shared" si="40"/>
        <v>0</v>
      </c>
      <c r="AD59" s="4">
        <f t="shared" si="40"/>
        <v>0</v>
      </c>
      <c r="AE59" s="4">
        <f t="shared" si="40"/>
        <v>0</v>
      </c>
      <c r="AF59" s="4">
        <f t="shared" si="40"/>
        <v>0</v>
      </c>
      <c r="AG59" s="4">
        <f t="shared" si="40"/>
        <v>0</v>
      </c>
      <c r="AH59" s="4">
        <f t="shared" si="40"/>
        <v>0</v>
      </c>
      <c r="AI59" s="4">
        <f t="shared" si="40"/>
        <v>0</v>
      </c>
      <c r="AJ59" s="4">
        <f t="shared" si="40"/>
        <v>0</v>
      </c>
      <c r="AK59" s="4">
        <f t="shared" si="40"/>
        <v>0</v>
      </c>
      <c r="AL59" s="4">
        <f t="shared" si="44"/>
        <v>0</v>
      </c>
      <c r="AM59" s="4">
        <f t="shared" si="44"/>
        <v>0</v>
      </c>
      <c r="AN59" s="4">
        <f t="shared" si="44"/>
        <v>0</v>
      </c>
      <c r="AO59" s="4">
        <f t="shared" si="44"/>
        <v>0</v>
      </c>
      <c r="AP59" s="4">
        <f t="shared" si="44"/>
        <v>0</v>
      </c>
      <c r="AQ59" s="4">
        <f t="shared" si="44"/>
        <v>0</v>
      </c>
      <c r="AR59" s="4">
        <f t="shared" si="44"/>
        <v>0</v>
      </c>
      <c r="AS59" s="4">
        <f t="shared" si="44"/>
        <v>0</v>
      </c>
      <c r="AT59" s="4">
        <f t="shared" si="44"/>
        <v>0</v>
      </c>
      <c r="AU59" s="4">
        <f t="shared" si="44"/>
        <v>0</v>
      </c>
      <c r="AV59" s="4">
        <f t="shared" si="44"/>
        <v>0</v>
      </c>
      <c r="AW59" s="4">
        <f t="shared" si="44"/>
        <v>0</v>
      </c>
      <c r="AX59" s="4">
        <f t="shared" si="44"/>
        <v>0</v>
      </c>
      <c r="AY59" s="4">
        <f t="shared" si="45"/>
        <v>0</v>
      </c>
      <c r="AZ59" s="4">
        <f t="shared" si="45"/>
        <v>0</v>
      </c>
      <c r="BA59" s="4">
        <f t="shared" si="45"/>
        <v>0</v>
      </c>
      <c r="BB59" s="4">
        <f t="shared" si="45"/>
        <v>0</v>
      </c>
      <c r="BC59" s="4">
        <f t="shared" si="45"/>
        <v>0</v>
      </c>
      <c r="BD59" s="4">
        <f t="shared" si="45"/>
        <v>0</v>
      </c>
      <c r="BF59" s="2">
        <f t="shared" si="35"/>
        <v>2000</v>
      </c>
      <c r="BG59" s="1">
        <f t="shared" ref="BG59:BG74" si="49">LOOKUP($A59,G59:G129,$B59:$B129)</f>
        <v>0</v>
      </c>
      <c r="BH59" s="1">
        <f t="shared" si="46"/>
        <v>0</v>
      </c>
      <c r="BI59" s="1">
        <f t="shared" si="46"/>
        <v>0</v>
      </c>
      <c r="BJ59" s="1">
        <f t="shared" si="46"/>
        <v>0</v>
      </c>
      <c r="BK59" s="1">
        <f t="shared" si="46"/>
        <v>0</v>
      </c>
      <c r="BL59" s="1">
        <f t="shared" si="46"/>
        <v>0</v>
      </c>
      <c r="BM59" s="1">
        <f t="shared" si="46"/>
        <v>0</v>
      </c>
      <c r="BN59" s="1">
        <f t="shared" si="46"/>
        <v>0</v>
      </c>
      <c r="BO59" s="1">
        <f t="shared" si="46"/>
        <v>0</v>
      </c>
      <c r="BP59" s="1">
        <f t="shared" si="46"/>
        <v>0</v>
      </c>
      <c r="BQ59" s="1">
        <f t="shared" si="46"/>
        <v>0</v>
      </c>
      <c r="BR59" s="1">
        <f t="shared" si="46"/>
        <v>0</v>
      </c>
      <c r="BS59" s="1">
        <f t="shared" si="46"/>
        <v>0</v>
      </c>
      <c r="BT59" s="1">
        <f t="shared" si="46"/>
        <v>0</v>
      </c>
      <c r="BU59" s="1">
        <f t="shared" si="46"/>
        <v>0</v>
      </c>
      <c r="BV59" s="1">
        <f t="shared" si="46"/>
        <v>0</v>
      </c>
      <c r="BW59" s="1">
        <f t="shared" si="46"/>
        <v>0</v>
      </c>
      <c r="BX59" s="1">
        <f t="shared" si="41"/>
        <v>0</v>
      </c>
      <c r="BY59" s="1">
        <f t="shared" si="41"/>
        <v>0</v>
      </c>
      <c r="BZ59" s="1">
        <f t="shared" si="41"/>
        <v>0</v>
      </c>
      <c r="CA59" s="1">
        <f t="shared" si="41"/>
        <v>0</v>
      </c>
      <c r="CB59" s="1">
        <f t="shared" si="41"/>
        <v>0</v>
      </c>
      <c r="CC59" s="1">
        <f t="shared" si="41"/>
        <v>0</v>
      </c>
      <c r="CD59" s="1">
        <f t="shared" si="41"/>
        <v>0</v>
      </c>
      <c r="CE59" s="1">
        <f t="shared" si="41"/>
        <v>0</v>
      </c>
      <c r="CF59" s="1">
        <f t="shared" si="41"/>
        <v>0</v>
      </c>
      <c r="CG59" s="1">
        <f t="shared" si="41"/>
        <v>0</v>
      </c>
      <c r="CH59" s="1">
        <f t="shared" si="41"/>
        <v>0</v>
      </c>
      <c r="CI59" s="1">
        <f t="shared" si="41"/>
        <v>0</v>
      </c>
      <c r="CJ59" s="1">
        <f t="shared" si="41"/>
        <v>0</v>
      </c>
      <c r="CK59" s="1">
        <f t="shared" si="41"/>
        <v>0</v>
      </c>
      <c r="CL59" s="1">
        <f t="shared" si="41"/>
        <v>0</v>
      </c>
      <c r="CM59" s="1">
        <f t="shared" si="47"/>
        <v>0</v>
      </c>
      <c r="CN59" s="1">
        <f t="shared" si="47"/>
        <v>0</v>
      </c>
      <c r="CO59" s="1">
        <f t="shared" si="47"/>
        <v>0</v>
      </c>
      <c r="CP59" s="1">
        <f t="shared" si="47"/>
        <v>0</v>
      </c>
      <c r="CQ59" s="1">
        <f t="shared" si="47"/>
        <v>0</v>
      </c>
      <c r="CR59" s="1">
        <f t="shared" si="47"/>
        <v>0</v>
      </c>
      <c r="CS59" s="1">
        <f t="shared" si="47"/>
        <v>0</v>
      </c>
      <c r="CT59" s="1">
        <f t="shared" si="47"/>
        <v>0</v>
      </c>
      <c r="CU59" s="1">
        <f t="shared" si="47"/>
        <v>0</v>
      </c>
      <c r="CV59" s="1">
        <f t="shared" si="47"/>
        <v>0</v>
      </c>
      <c r="CW59" s="1">
        <f t="shared" si="47"/>
        <v>0</v>
      </c>
      <c r="CX59" s="1">
        <f t="shared" si="47"/>
        <v>0</v>
      </c>
      <c r="CY59" s="1">
        <f t="shared" si="47"/>
        <v>0</v>
      </c>
      <c r="CZ59" s="1">
        <f t="shared" si="47"/>
        <v>0</v>
      </c>
      <c r="DA59" s="1">
        <f t="shared" si="47"/>
        <v>0</v>
      </c>
      <c r="DB59" s="1">
        <f t="shared" si="47"/>
        <v>0</v>
      </c>
      <c r="DC59" s="1">
        <f t="shared" si="42"/>
        <v>0</v>
      </c>
      <c r="DD59" s="1">
        <f t="shared" si="42"/>
        <v>0</v>
      </c>
    </row>
    <row r="60" spans="1:108" x14ac:dyDescent="0.2">
      <c r="A60">
        <v>2200</v>
      </c>
      <c r="B60" s="1">
        <f t="shared" si="48"/>
        <v>2.2438112840487237E-7</v>
      </c>
      <c r="C60" s="3">
        <f t="shared" si="29"/>
        <v>8.9380754563480654E-8</v>
      </c>
      <c r="D60" s="5">
        <f t="shared" si="30"/>
        <v>24.029013434986791</v>
      </c>
      <c r="F60" s="1">
        <f t="shared" si="31"/>
        <v>2.2438112840487237E-7</v>
      </c>
      <c r="G60" s="4">
        <f t="shared" si="43"/>
        <v>355.9293607856103</v>
      </c>
      <c r="H60" s="4">
        <f t="shared" si="43"/>
        <v>306.40627405572258</v>
      </c>
      <c r="I60" s="4">
        <f t="shared" si="43"/>
        <v>267.95289122547598</v>
      </c>
      <c r="J60" s="4">
        <f t="shared" si="43"/>
        <v>237.35693654162799</v>
      </c>
      <c r="K60" s="4">
        <f t="shared" si="43"/>
        <v>212.51342528519314</v>
      </c>
      <c r="L60" s="4">
        <f t="shared" si="43"/>
        <v>191.99217849664348</v>
      </c>
      <c r="M60" s="4">
        <f t="shared" si="43"/>
        <v>174.79128295148195</v>
      </c>
      <c r="N60" s="4">
        <f t="shared" si="43"/>
        <v>160.19017723834614</v>
      </c>
      <c r="O60" s="4">
        <f t="shared" si="43"/>
        <v>147.65872022909375</v>
      </c>
      <c r="P60" s="4">
        <f t="shared" si="43"/>
        <v>136.79903128815778</v>
      </c>
      <c r="Q60" s="4">
        <f t="shared" si="43"/>
        <v>0</v>
      </c>
      <c r="R60" s="4">
        <f t="shared" si="43"/>
        <v>0</v>
      </c>
      <c r="S60" s="4">
        <f t="shared" si="43"/>
        <v>0</v>
      </c>
      <c r="T60" s="4">
        <f t="shared" si="43"/>
        <v>0</v>
      </c>
      <c r="U60" s="4">
        <f t="shared" si="43"/>
        <v>0</v>
      </c>
      <c r="V60" s="4">
        <f t="shared" si="43"/>
        <v>0</v>
      </c>
      <c r="W60" s="4">
        <f t="shared" si="40"/>
        <v>0</v>
      </c>
      <c r="X60" s="4">
        <f t="shared" si="40"/>
        <v>0</v>
      </c>
      <c r="Y60" s="4">
        <f t="shared" si="40"/>
        <v>0</v>
      </c>
      <c r="Z60" s="4">
        <f t="shared" si="40"/>
        <v>0</v>
      </c>
      <c r="AA60" s="4">
        <f t="shared" si="40"/>
        <v>0</v>
      </c>
      <c r="AB60" s="4">
        <f t="shared" si="40"/>
        <v>0</v>
      </c>
      <c r="AC60" s="4">
        <f t="shared" si="40"/>
        <v>0</v>
      </c>
      <c r="AD60" s="4">
        <f t="shared" si="40"/>
        <v>0</v>
      </c>
      <c r="AE60" s="4">
        <f t="shared" si="40"/>
        <v>0</v>
      </c>
      <c r="AF60" s="4">
        <f t="shared" si="40"/>
        <v>0</v>
      </c>
      <c r="AG60" s="4">
        <f t="shared" si="40"/>
        <v>0</v>
      </c>
      <c r="AH60" s="4">
        <f t="shared" si="40"/>
        <v>0</v>
      </c>
      <c r="AI60" s="4">
        <f t="shared" si="40"/>
        <v>0</v>
      </c>
      <c r="AJ60" s="4">
        <f t="shared" si="40"/>
        <v>0</v>
      </c>
      <c r="AK60" s="4">
        <f t="shared" si="40"/>
        <v>0</v>
      </c>
      <c r="AL60" s="4">
        <f t="shared" si="44"/>
        <v>0</v>
      </c>
      <c r="AM60" s="4">
        <f t="shared" si="44"/>
        <v>0</v>
      </c>
      <c r="AN60" s="4">
        <f t="shared" si="44"/>
        <v>0</v>
      </c>
      <c r="AO60" s="4">
        <f t="shared" si="44"/>
        <v>0</v>
      </c>
      <c r="AP60" s="4">
        <f t="shared" si="44"/>
        <v>0</v>
      </c>
      <c r="AQ60" s="4">
        <f t="shared" si="44"/>
        <v>0</v>
      </c>
      <c r="AR60" s="4">
        <f t="shared" si="44"/>
        <v>0</v>
      </c>
      <c r="AS60" s="4">
        <f t="shared" si="44"/>
        <v>0</v>
      </c>
      <c r="AT60" s="4">
        <f t="shared" si="44"/>
        <v>0</v>
      </c>
      <c r="AU60" s="4">
        <f t="shared" si="44"/>
        <v>0</v>
      </c>
      <c r="AV60" s="4">
        <f t="shared" si="44"/>
        <v>0</v>
      </c>
      <c r="AW60" s="4">
        <f t="shared" si="44"/>
        <v>0</v>
      </c>
      <c r="AX60" s="4">
        <f t="shared" si="44"/>
        <v>0</v>
      </c>
      <c r="AY60" s="4">
        <f t="shared" si="45"/>
        <v>0</v>
      </c>
      <c r="AZ60" s="4">
        <f t="shared" si="45"/>
        <v>0</v>
      </c>
      <c r="BA60" s="4">
        <f t="shared" si="45"/>
        <v>0</v>
      </c>
      <c r="BB60" s="4">
        <f t="shared" si="45"/>
        <v>0</v>
      </c>
      <c r="BC60" s="4">
        <f t="shared" si="45"/>
        <v>0</v>
      </c>
      <c r="BD60" s="4">
        <f t="shared" si="45"/>
        <v>0</v>
      </c>
      <c r="BF60" s="2">
        <f t="shared" si="35"/>
        <v>2200</v>
      </c>
      <c r="BG60" s="1">
        <f t="shared" si="49"/>
        <v>0</v>
      </c>
      <c r="BH60" s="1">
        <f t="shared" si="46"/>
        <v>0</v>
      </c>
      <c r="BI60" s="1">
        <f t="shared" si="46"/>
        <v>0</v>
      </c>
      <c r="BJ60" s="1">
        <f t="shared" si="46"/>
        <v>0</v>
      </c>
      <c r="BK60" s="1">
        <f t="shared" si="46"/>
        <v>0</v>
      </c>
      <c r="BL60" s="1">
        <f t="shared" si="46"/>
        <v>0</v>
      </c>
      <c r="BM60" s="1">
        <f t="shared" si="46"/>
        <v>0</v>
      </c>
      <c r="BN60" s="1">
        <f t="shared" si="46"/>
        <v>0</v>
      </c>
      <c r="BO60" s="1">
        <f t="shared" si="46"/>
        <v>0</v>
      </c>
      <c r="BP60" s="1">
        <f t="shared" si="46"/>
        <v>0</v>
      </c>
      <c r="BQ60" s="1">
        <f t="shared" si="46"/>
        <v>0</v>
      </c>
      <c r="BR60" s="1">
        <f t="shared" si="46"/>
        <v>0</v>
      </c>
      <c r="BS60" s="1">
        <f t="shared" si="46"/>
        <v>0</v>
      </c>
      <c r="BT60" s="1">
        <f t="shared" si="46"/>
        <v>0</v>
      </c>
      <c r="BU60" s="1">
        <f t="shared" si="46"/>
        <v>0</v>
      </c>
      <c r="BV60" s="1">
        <f t="shared" si="46"/>
        <v>0</v>
      </c>
      <c r="BW60" s="1">
        <f t="shared" si="46"/>
        <v>0</v>
      </c>
      <c r="BX60" s="1">
        <f t="shared" si="41"/>
        <v>0</v>
      </c>
      <c r="BY60" s="1">
        <f t="shared" si="41"/>
        <v>0</v>
      </c>
      <c r="BZ60" s="1">
        <f t="shared" si="41"/>
        <v>0</v>
      </c>
      <c r="CA60" s="1">
        <f t="shared" si="41"/>
        <v>0</v>
      </c>
      <c r="CB60" s="1">
        <f t="shared" si="41"/>
        <v>0</v>
      </c>
      <c r="CC60" s="1">
        <f t="shared" si="41"/>
        <v>0</v>
      </c>
      <c r="CD60" s="1">
        <f t="shared" si="41"/>
        <v>0</v>
      </c>
      <c r="CE60" s="1">
        <f t="shared" si="41"/>
        <v>0</v>
      </c>
      <c r="CF60" s="1">
        <f t="shared" si="41"/>
        <v>0</v>
      </c>
      <c r="CG60" s="1">
        <f t="shared" si="41"/>
        <v>0</v>
      </c>
      <c r="CH60" s="1">
        <f t="shared" si="41"/>
        <v>0</v>
      </c>
      <c r="CI60" s="1">
        <f t="shared" si="41"/>
        <v>0</v>
      </c>
      <c r="CJ60" s="1">
        <f t="shared" si="41"/>
        <v>0</v>
      </c>
      <c r="CK60" s="1">
        <f t="shared" si="41"/>
        <v>0</v>
      </c>
      <c r="CL60" s="1">
        <f t="shared" si="41"/>
        <v>0</v>
      </c>
      <c r="CM60" s="1">
        <f t="shared" si="47"/>
        <v>0</v>
      </c>
      <c r="CN60" s="1">
        <f t="shared" si="47"/>
        <v>0</v>
      </c>
      <c r="CO60" s="1">
        <f t="shared" si="47"/>
        <v>0</v>
      </c>
      <c r="CP60" s="1">
        <f t="shared" si="47"/>
        <v>0</v>
      </c>
      <c r="CQ60" s="1">
        <f t="shared" si="47"/>
        <v>0</v>
      </c>
      <c r="CR60" s="1">
        <f t="shared" si="47"/>
        <v>0</v>
      </c>
      <c r="CS60" s="1">
        <f t="shared" si="47"/>
        <v>0</v>
      </c>
      <c r="CT60" s="1">
        <f t="shared" si="47"/>
        <v>0</v>
      </c>
      <c r="CU60" s="1">
        <f t="shared" si="47"/>
        <v>0</v>
      </c>
      <c r="CV60" s="1">
        <f t="shared" si="47"/>
        <v>0</v>
      </c>
      <c r="CW60" s="1">
        <f t="shared" si="47"/>
        <v>0</v>
      </c>
      <c r="CX60" s="1">
        <f t="shared" si="47"/>
        <v>0</v>
      </c>
      <c r="CY60" s="1">
        <f t="shared" si="47"/>
        <v>0</v>
      </c>
      <c r="CZ60" s="1">
        <f t="shared" si="47"/>
        <v>0</v>
      </c>
      <c r="DA60" s="1">
        <f t="shared" si="47"/>
        <v>0</v>
      </c>
      <c r="DB60" s="1">
        <f t="shared" si="47"/>
        <v>0</v>
      </c>
      <c r="DC60" s="1">
        <f t="shared" si="42"/>
        <v>0</v>
      </c>
      <c r="DD60" s="1">
        <f t="shared" si="42"/>
        <v>0</v>
      </c>
    </row>
    <row r="61" spans="1:108" x14ac:dyDescent="0.2">
      <c r="A61">
        <v>2400</v>
      </c>
      <c r="B61" s="1">
        <f t="shared" si="48"/>
        <v>1.3500037384139172E-7</v>
      </c>
      <c r="C61" s="3">
        <f t="shared" si="29"/>
        <v>5.3776515726059377E-8</v>
      </c>
      <c r="D61" s="5">
        <f t="shared" si="30"/>
        <v>24.879970040001311</v>
      </c>
      <c r="F61" s="1">
        <f t="shared" si="31"/>
        <v>1.3500037384139172E-7</v>
      </c>
      <c r="G61" s="4">
        <f t="shared" si="43"/>
        <v>377.77589654895934</v>
      </c>
      <c r="H61" s="4">
        <f t="shared" si="43"/>
        <v>325.11403155701504</v>
      </c>
      <c r="I61" s="4">
        <f t="shared" si="43"/>
        <v>284.22324153348376</v>
      </c>
      <c r="J61" s="4">
        <f t="shared" si="43"/>
        <v>251.69151581675132</v>
      </c>
      <c r="K61" s="4">
        <f t="shared" si="43"/>
        <v>225.28102506043916</v>
      </c>
      <c r="L61" s="4">
        <f t="shared" si="43"/>
        <v>203.4704049881224</v>
      </c>
      <c r="M61" s="4">
        <f t="shared" si="43"/>
        <v>185.19342076767072</v>
      </c>
      <c r="N61" s="4">
        <f t="shared" si="43"/>
        <v>169.68304582984732</v>
      </c>
      <c r="O61" s="4">
        <f t="shared" si="43"/>
        <v>156.37486353581926</v>
      </c>
      <c r="P61" s="4">
        <f t="shared" si="43"/>
        <v>144.84523711664323</v>
      </c>
      <c r="Q61" s="4">
        <f t="shared" si="43"/>
        <v>0</v>
      </c>
      <c r="R61" s="4">
        <f t="shared" si="43"/>
        <v>0</v>
      </c>
      <c r="S61" s="4">
        <f t="shared" si="43"/>
        <v>0</v>
      </c>
      <c r="T61" s="4">
        <f t="shared" si="43"/>
        <v>0</v>
      </c>
      <c r="U61" s="4">
        <f t="shared" si="43"/>
        <v>0</v>
      </c>
      <c r="V61" s="4">
        <f t="shared" si="43"/>
        <v>0</v>
      </c>
      <c r="W61" s="4">
        <f t="shared" si="40"/>
        <v>0</v>
      </c>
      <c r="X61" s="4">
        <f t="shared" si="40"/>
        <v>0</v>
      </c>
      <c r="Y61" s="4">
        <f t="shared" si="40"/>
        <v>0</v>
      </c>
      <c r="Z61" s="4">
        <f t="shared" si="40"/>
        <v>0</v>
      </c>
      <c r="AA61" s="4">
        <f t="shared" si="40"/>
        <v>0</v>
      </c>
      <c r="AB61" s="4">
        <f t="shared" si="40"/>
        <v>0</v>
      </c>
      <c r="AC61" s="4">
        <f t="shared" si="40"/>
        <v>0</v>
      </c>
      <c r="AD61" s="4">
        <f t="shared" si="40"/>
        <v>0</v>
      </c>
      <c r="AE61" s="4">
        <f t="shared" si="40"/>
        <v>0</v>
      </c>
      <c r="AF61" s="4">
        <f t="shared" si="40"/>
        <v>0</v>
      </c>
      <c r="AG61" s="4">
        <f t="shared" si="40"/>
        <v>0</v>
      </c>
      <c r="AH61" s="4">
        <f t="shared" si="40"/>
        <v>0</v>
      </c>
      <c r="AI61" s="4">
        <f t="shared" si="40"/>
        <v>0</v>
      </c>
      <c r="AJ61" s="4">
        <f t="shared" si="40"/>
        <v>0</v>
      </c>
      <c r="AK61" s="4">
        <f t="shared" si="40"/>
        <v>0</v>
      </c>
      <c r="AL61" s="4">
        <f t="shared" si="44"/>
        <v>0</v>
      </c>
      <c r="AM61" s="4">
        <f t="shared" si="44"/>
        <v>0</v>
      </c>
      <c r="AN61" s="4">
        <f t="shared" si="44"/>
        <v>0</v>
      </c>
      <c r="AO61" s="4">
        <f t="shared" si="44"/>
        <v>0</v>
      </c>
      <c r="AP61" s="4">
        <f t="shared" si="44"/>
        <v>0</v>
      </c>
      <c r="AQ61" s="4">
        <f t="shared" si="44"/>
        <v>0</v>
      </c>
      <c r="AR61" s="4">
        <f t="shared" si="44"/>
        <v>0</v>
      </c>
      <c r="AS61" s="4">
        <f t="shared" si="44"/>
        <v>0</v>
      </c>
      <c r="AT61" s="4">
        <f t="shared" si="44"/>
        <v>0</v>
      </c>
      <c r="AU61" s="4">
        <f t="shared" si="44"/>
        <v>0</v>
      </c>
      <c r="AV61" s="4">
        <f t="shared" si="44"/>
        <v>0</v>
      </c>
      <c r="AW61" s="4">
        <f t="shared" si="44"/>
        <v>0</v>
      </c>
      <c r="AX61" s="4">
        <f t="shared" si="44"/>
        <v>0</v>
      </c>
      <c r="AY61" s="4">
        <f t="shared" si="45"/>
        <v>0</v>
      </c>
      <c r="AZ61" s="4">
        <f t="shared" si="45"/>
        <v>0</v>
      </c>
      <c r="BA61" s="4">
        <f t="shared" si="45"/>
        <v>0</v>
      </c>
      <c r="BB61" s="4">
        <f t="shared" si="45"/>
        <v>0</v>
      </c>
      <c r="BC61" s="4">
        <f t="shared" si="45"/>
        <v>0</v>
      </c>
      <c r="BD61" s="4">
        <f t="shared" si="45"/>
        <v>0</v>
      </c>
      <c r="BF61" s="2">
        <f t="shared" si="35"/>
        <v>2400</v>
      </c>
      <c r="BG61" s="1">
        <f t="shared" si="49"/>
        <v>0</v>
      </c>
      <c r="BH61" s="1">
        <f t="shared" si="46"/>
        <v>0</v>
      </c>
      <c r="BI61" s="1">
        <f t="shared" si="46"/>
        <v>0</v>
      </c>
      <c r="BJ61" s="1">
        <f t="shared" si="46"/>
        <v>0</v>
      </c>
      <c r="BK61" s="1">
        <f t="shared" si="46"/>
        <v>0</v>
      </c>
      <c r="BL61" s="1">
        <f t="shared" si="46"/>
        <v>0</v>
      </c>
      <c r="BM61" s="1">
        <f t="shared" si="46"/>
        <v>0</v>
      </c>
      <c r="BN61" s="1">
        <f t="shared" si="46"/>
        <v>0</v>
      </c>
      <c r="BO61" s="1">
        <f t="shared" si="46"/>
        <v>0</v>
      </c>
      <c r="BP61" s="1">
        <f t="shared" si="46"/>
        <v>0</v>
      </c>
      <c r="BQ61" s="1">
        <f t="shared" si="46"/>
        <v>0</v>
      </c>
      <c r="BR61" s="1">
        <f t="shared" si="46"/>
        <v>0</v>
      </c>
      <c r="BS61" s="1">
        <f t="shared" si="46"/>
        <v>0</v>
      </c>
      <c r="BT61" s="1">
        <f t="shared" si="46"/>
        <v>0</v>
      </c>
      <c r="BU61" s="1">
        <f t="shared" si="46"/>
        <v>0</v>
      </c>
      <c r="BV61" s="1">
        <f t="shared" si="46"/>
        <v>0</v>
      </c>
      <c r="BW61" s="1">
        <f t="shared" si="46"/>
        <v>0</v>
      </c>
      <c r="BX61" s="1">
        <f t="shared" si="41"/>
        <v>0</v>
      </c>
      <c r="BY61" s="1">
        <f t="shared" si="41"/>
        <v>0</v>
      </c>
      <c r="BZ61" s="1">
        <f t="shared" si="41"/>
        <v>0</v>
      </c>
      <c r="CA61" s="1">
        <f t="shared" si="41"/>
        <v>0</v>
      </c>
      <c r="CB61" s="1">
        <f t="shared" si="41"/>
        <v>0</v>
      </c>
      <c r="CC61" s="1">
        <f t="shared" si="41"/>
        <v>0</v>
      </c>
      <c r="CD61" s="1">
        <f t="shared" si="41"/>
        <v>0</v>
      </c>
      <c r="CE61" s="1">
        <f t="shared" si="41"/>
        <v>0</v>
      </c>
      <c r="CF61" s="1">
        <f t="shared" si="41"/>
        <v>0</v>
      </c>
      <c r="CG61" s="1">
        <f t="shared" si="41"/>
        <v>0</v>
      </c>
      <c r="CH61" s="1">
        <f t="shared" si="41"/>
        <v>0</v>
      </c>
      <c r="CI61" s="1">
        <f t="shared" si="41"/>
        <v>0</v>
      </c>
      <c r="CJ61" s="1">
        <f t="shared" si="41"/>
        <v>0</v>
      </c>
      <c r="CK61" s="1">
        <f t="shared" si="41"/>
        <v>0</v>
      </c>
      <c r="CL61" s="1">
        <f t="shared" si="41"/>
        <v>0</v>
      </c>
      <c r="CM61" s="1">
        <f t="shared" si="47"/>
        <v>0</v>
      </c>
      <c r="CN61" s="1">
        <f t="shared" si="47"/>
        <v>0</v>
      </c>
      <c r="CO61" s="1">
        <f t="shared" si="47"/>
        <v>0</v>
      </c>
      <c r="CP61" s="1">
        <f t="shared" si="47"/>
        <v>0</v>
      </c>
      <c r="CQ61" s="1">
        <f t="shared" si="47"/>
        <v>0</v>
      </c>
      <c r="CR61" s="1">
        <f t="shared" si="47"/>
        <v>0</v>
      </c>
      <c r="CS61" s="1">
        <f t="shared" si="47"/>
        <v>0</v>
      </c>
      <c r="CT61" s="1">
        <f t="shared" si="47"/>
        <v>0</v>
      </c>
      <c r="CU61" s="1">
        <f t="shared" si="47"/>
        <v>0</v>
      </c>
      <c r="CV61" s="1">
        <f t="shared" si="47"/>
        <v>0</v>
      </c>
      <c r="CW61" s="1">
        <f t="shared" si="47"/>
        <v>0</v>
      </c>
      <c r="CX61" s="1">
        <f t="shared" si="47"/>
        <v>0</v>
      </c>
      <c r="CY61" s="1">
        <f t="shared" si="47"/>
        <v>0</v>
      </c>
      <c r="CZ61" s="1">
        <f t="shared" si="47"/>
        <v>0</v>
      </c>
      <c r="DA61" s="1">
        <f t="shared" si="47"/>
        <v>0</v>
      </c>
      <c r="DB61" s="1">
        <f t="shared" si="47"/>
        <v>0</v>
      </c>
      <c r="DC61" s="1">
        <f t="shared" si="42"/>
        <v>0</v>
      </c>
      <c r="DD61" s="1">
        <f t="shared" si="42"/>
        <v>0</v>
      </c>
    </row>
    <row r="62" spans="1:108" x14ac:dyDescent="0.2">
      <c r="A62">
        <v>2600</v>
      </c>
      <c r="B62" s="1">
        <f t="shared" si="48"/>
        <v>8.1223858115332338E-8</v>
      </c>
      <c r="C62" s="3">
        <f t="shared" si="29"/>
        <v>8.1223858115332338E-8</v>
      </c>
      <c r="D62" s="5">
        <f t="shared" si="30"/>
        <v>25.689361198592611</v>
      </c>
      <c r="F62" s="1">
        <f t="shared" si="31"/>
        <v>8.1223858115332338E-8</v>
      </c>
      <c r="G62" s="4">
        <f t="shared" si="43"/>
        <v>399.63379573658227</v>
      </c>
      <c r="H62" s="4">
        <f t="shared" si="43"/>
        <v>343.82071380265199</v>
      </c>
      <c r="I62" s="4">
        <f t="shared" si="43"/>
        <v>300.48302858484158</v>
      </c>
      <c r="J62" s="4">
        <f t="shared" si="43"/>
        <v>266.00836185652241</v>
      </c>
      <c r="K62" s="4">
        <f t="shared" si="43"/>
        <v>238.02551106701844</v>
      </c>
      <c r="L62" s="4">
        <f t="shared" si="43"/>
        <v>214.92151065212079</v>
      </c>
      <c r="M62" s="4">
        <f t="shared" si="43"/>
        <v>195.56548454075224</v>
      </c>
      <c r="N62" s="4">
        <f t="shared" si="43"/>
        <v>179.14369749058895</v>
      </c>
      <c r="O62" s="4">
        <f t="shared" si="43"/>
        <v>165.05727205224633</v>
      </c>
      <c r="P62" s="4">
        <f t="shared" si="43"/>
        <v>152.85667397443495</v>
      </c>
      <c r="Q62" s="4">
        <f t="shared" si="43"/>
        <v>0</v>
      </c>
      <c r="R62" s="4">
        <f t="shared" si="43"/>
        <v>0</v>
      </c>
      <c r="S62" s="4">
        <f t="shared" si="43"/>
        <v>0</v>
      </c>
      <c r="T62" s="4">
        <f t="shared" si="43"/>
        <v>0</v>
      </c>
      <c r="U62" s="4">
        <f t="shared" si="43"/>
        <v>0</v>
      </c>
      <c r="V62" s="4">
        <f t="shared" si="43"/>
        <v>0</v>
      </c>
      <c r="W62" s="4">
        <f t="shared" si="40"/>
        <v>0</v>
      </c>
      <c r="X62" s="4">
        <f t="shared" si="40"/>
        <v>0</v>
      </c>
      <c r="Y62" s="4">
        <f t="shared" si="40"/>
        <v>0</v>
      </c>
      <c r="Z62" s="4">
        <f t="shared" si="40"/>
        <v>0</v>
      </c>
      <c r="AA62" s="4">
        <f t="shared" si="40"/>
        <v>0</v>
      </c>
      <c r="AB62" s="4">
        <f t="shared" si="40"/>
        <v>0</v>
      </c>
      <c r="AC62" s="4">
        <f t="shared" si="40"/>
        <v>0</v>
      </c>
      <c r="AD62" s="4">
        <f t="shared" si="40"/>
        <v>0</v>
      </c>
      <c r="AE62" s="4">
        <f t="shared" si="40"/>
        <v>0</v>
      </c>
      <c r="AF62" s="4">
        <f t="shared" si="40"/>
        <v>0</v>
      </c>
      <c r="AG62" s="4">
        <f t="shared" si="40"/>
        <v>0</v>
      </c>
      <c r="AH62" s="4">
        <f t="shared" si="40"/>
        <v>0</v>
      </c>
      <c r="AI62" s="4">
        <f t="shared" si="40"/>
        <v>0</v>
      </c>
      <c r="AJ62" s="4">
        <f t="shared" si="40"/>
        <v>0</v>
      </c>
      <c r="AK62" s="4">
        <f t="shared" si="40"/>
        <v>0</v>
      </c>
      <c r="AL62" s="4">
        <f t="shared" si="44"/>
        <v>0</v>
      </c>
      <c r="AM62" s="4">
        <f t="shared" si="44"/>
        <v>0</v>
      </c>
      <c r="AN62" s="4">
        <f t="shared" si="44"/>
        <v>0</v>
      </c>
      <c r="AO62" s="4">
        <f t="shared" si="44"/>
        <v>0</v>
      </c>
      <c r="AP62" s="4">
        <f t="shared" si="44"/>
        <v>0</v>
      </c>
      <c r="AQ62" s="4">
        <f t="shared" si="44"/>
        <v>0</v>
      </c>
      <c r="AR62" s="4">
        <f t="shared" si="44"/>
        <v>0</v>
      </c>
      <c r="AS62" s="4">
        <f t="shared" si="44"/>
        <v>0</v>
      </c>
      <c r="AT62" s="4">
        <f t="shared" si="44"/>
        <v>0</v>
      </c>
      <c r="AU62" s="4">
        <f t="shared" si="44"/>
        <v>0</v>
      </c>
      <c r="AV62" s="4">
        <f t="shared" si="44"/>
        <v>0</v>
      </c>
      <c r="AW62" s="4">
        <f t="shared" si="44"/>
        <v>0</v>
      </c>
      <c r="AX62" s="4">
        <f t="shared" si="44"/>
        <v>0</v>
      </c>
      <c r="AY62" s="4">
        <f t="shared" si="45"/>
        <v>0</v>
      </c>
      <c r="AZ62" s="4">
        <f t="shared" si="45"/>
        <v>0</v>
      </c>
      <c r="BA62" s="4">
        <f t="shared" si="45"/>
        <v>0</v>
      </c>
      <c r="BB62" s="4">
        <f t="shared" si="45"/>
        <v>0</v>
      </c>
      <c r="BC62" s="4">
        <f t="shared" si="45"/>
        <v>0</v>
      </c>
      <c r="BD62" s="4">
        <f t="shared" si="45"/>
        <v>0</v>
      </c>
      <c r="BF62" s="2">
        <f t="shared" si="35"/>
        <v>2600</v>
      </c>
      <c r="BG62" s="1">
        <f t="shared" si="49"/>
        <v>0</v>
      </c>
      <c r="BH62" s="1">
        <f t="shared" si="46"/>
        <v>0</v>
      </c>
      <c r="BI62" s="1">
        <f t="shared" si="46"/>
        <v>0</v>
      </c>
      <c r="BJ62" s="1">
        <f t="shared" si="46"/>
        <v>0</v>
      </c>
      <c r="BK62" s="1">
        <f t="shared" si="46"/>
        <v>0</v>
      </c>
      <c r="BL62" s="1">
        <f t="shared" si="46"/>
        <v>0</v>
      </c>
      <c r="BM62" s="1">
        <f t="shared" si="46"/>
        <v>0</v>
      </c>
      <c r="BN62" s="1">
        <f t="shared" si="46"/>
        <v>0</v>
      </c>
      <c r="BO62" s="1">
        <f t="shared" si="46"/>
        <v>0</v>
      </c>
      <c r="BP62" s="1">
        <f t="shared" si="46"/>
        <v>0</v>
      </c>
      <c r="BQ62" s="1">
        <f t="shared" si="46"/>
        <v>0</v>
      </c>
      <c r="BR62" s="1">
        <f t="shared" si="46"/>
        <v>0</v>
      </c>
      <c r="BS62" s="1">
        <f t="shared" si="46"/>
        <v>0</v>
      </c>
      <c r="BT62" s="1">
        <f t="shared" si="46"/>
        <v>0</v>
      </c>
      <c r="BU62" s="1">
        <f t="shared" si="46"/>
        <v>0</v>
      </c>
      <c r="BV62" s="1">
        <f t="shared" si="46"/>
        <v>0</v>
      </c>
      <c r="BW62" s="1">
        <f t="shared" si="46"/>
        <v>0</v>
      </c>
      <c r="BX62" s="1">
        <f t="shared" si="41"/>
        <v>0</v>
      </c>
      <c r="BY62" s="1">
        <f t="shared" si="41"/>
        <v>0</v>
      </c>
      <c r="BZ62" s="1">
        <f t="shared" si="41"/>
        <v>0</v>
      </c>
      <c r="CA62" s="1">
        <f t="shared" si="41"/>
        <v>0</v>
      </c>
      <c r="CB62" s="1">
        <f t="shared" si="41"/>
        <v>0</v>
      </c>
      <c r="CC62" s="1">
        <f t="shared" si="41"/>
        <v>0</v>
      </c>
      <c r="CD62" s="1">
        <f t="shared" si="41"/>
        <v>0</v>
      </c>
      <c r="CE62" s="1">
        <f t="shared" si="41"/>
        <v>0</v>
      </c>
      <c r="CF62" s="1">
        <f t="shared" si="41"/>
        <v>0</v>
      </c>
      <c r="CG62" s="1">
        <f t="shared" si="41"/>
        <v>0</v>
      </c>
      <c r="CH62" s="1">
        <f t="shared" si="41"/>
        <v>0</v>
      </c>
      <c r="CI62" s="1">
        <f t="shared" si="41"/>
        <v>0</v>
      </c>
      <c r="CJ62" s="1">
        <f t="shared" si="41"/>
        <v>0</v>
      </c>
      <c r="CK62" s="1">
        <f t="shared" si="41"/>
        <v>0</v>
      </c>
      <c r="CL62" s="1">
        <f t="shared" si="41"/>
        <v>0</v>
      </c>
      <c r="CM62" s="1">
        <f t="shared" si="47"/>
        <v>0</v>
      </c>
      <c r="CN62" s="1">
        <f t="shared" si="47"/>
        <v>0</v>
      </c>
      <c r="CO62" s="1">
        <f t="shared" si="47"/>
        <v>0</v>
      </c>
      <c r="CP62" s="1">
        <f t="shared" si="47"/>
        <v>0</v>
      </c>
      <c r="CQ62" s="1">
        <f t="shared" si="47"/>
        <v>0</v>
      </c>
      <c r="CR62" s="1">
        <f t="shared" si="47"/>
        <v>0</v>
      </c>
      <c r="CS62" s="1">
        <f t="shared" si="47"/>
        <v>0</v>
      </c>
      <c r="CT62" s="1">
        <f t="shared" si="47"/>
        <v>0</v>
      </c>
      <c r="CU62" s="1">
        <f t="shared" si="47"/>
        <v>0</v>
      </c>
      <c r="CV62" s="1">
        <f t="shared" si="47"/>
        <v>0</v>
      </c>
      <c r="CW62" s="1">
        <f t="shared" si="47"/>
        <v>0</v>
      </c>
      <c r="CX62" s="1">
        <f t="shared" si="47"/>
        <v>0</v>
      </c>
      <c r="CY62" s="1">
        <f t="shared" si="47"/>
        <v>0</v>
      </c>
      <c r="CZ62" s="1">
        <f t="shared" si="47"/>
        <v>0</v>
      </c>
      <c r="DA62" s="1">
        <f t="shared" si="47"/>
        <v>0</v>
      </c>
      <c r="DB62" s="1">
        <f t="shared" si="47"/>
        <v>0</v>
      </c>
      <c r="DC62" s="1">
        <f t="shared" si="42"/>
        <v>0</v>
      </c>
      <c r="DD62" s="1">
        <f t="shared" si="42"/>
        <v>0</v>
      </c>
    </row>
    <row r="63" spans="1:108" x14ac:dyDescent="0.2">
      <c r="A63">
        <v>2800</v>
      </c>
      <c r="B63" s="1">
        <f t="shared" si="48"/>
        <v>0</v>
      </c>
      <c r="C63" s="3">
        <f t="shared" si="29"/>
        <v>0</v>
      </c>
      <c r="D63" s="5">
        <f t="shared" si="30"/>
        <v>26.462196559770945</v>
      </c>
      <c r="F63" s="1">
        <f t="shared" si="31"/>
        <v>0</v>
      </c>
      <c r="G63" s="4">
        <f t="shared" si="43"/>
        <v>421.56935124511097</v>
      </c>
      <c r="H63" s="4">
        <f t="shared" si="43"/>
        <v>362.58296067644773</v>
      </c>
      <c r="I63" s="4">
        <f t="shared" si="43"/>
        <v>316.78150181771429</v>
      </c>
      <c r="J63" s="4">
        <f t="shared" si="43"/>
        <v>280.35091050707541</v>
      </c>
      <c r="K63" s="4">
        <f t="shared" si="43"/>
        <v>250.7856422514887</v>
      </c>
      <c r="L63" s="4">
        <f t="shared" si="43"/>
        <v>226.38042045567798</v>
      </c>
      <c r="M63" s="4">
        <f t="shared" si="43"/>
        <v>205.93920553773114</v>
      </c>
      <c r="N63" s="4">
        <f t="shared" si="43"/>
        <v>188.60116628967992</v>
      </c>
      <c r="O63" s="4">
        <f t="shared" si="43"/>
        <v>173.73267462074031</v>
      </c>
      <c r="P63" s="4">
        <f t="shared" si="43"/>
        <v>160.85807981596977</v>
      </c>
      <c r="Q63" s="4">
        <f t="shared" si="43"/>
        <v>0</v>
      </c>
      <c r="R63" s="4">
        <f t="shared" si="43"/>
        <v>0</v>
      </c>
      <c r="S63" s="4">
        <f t="shared" si="43"/>
        <v>0</v>
      </c>
      <c r="T63" s="4">
        <f t="shared" si="43"/>
        <v>0</v>
      </c>
      <c r="U63" s="4">
        <f t="shared" si="43"/>
        <v>0</v>
      </c>
      <c r="V63" s="4">
        <f t="shared" si="43"/>
        <v>0</v>
      </c>
      <c r="W63" s="4">
        <f t="shared" si="40"/>
        <v>0</v>
      </c>
      <c r="X63" s="4">
        <f t="shared" si="40"/>
        <v>0</v>
      </c>
      <c r="Y63" s="4">
        <f t="shared" si="40"/>
        <v>0</v>
      </c>
      <c r="Z63" s="4">
        <f t="shared" si="40"/>
        <v>0</v>
      </c>
      <c r="AA63" s="4">
        <f t="shared" si="40"/>
        <v>0</v>
      </c>
      <c r="AB63" s="4">
        <f t="shared" si="40"/>
        <v>0</v>
      </c>
      <c r="AC63" s="4">
        <f t="shared" si="40"/>
        <v>0</v>
      </c>
      <c r="AD63" s="4">
        <f t="shared" si="40"/>
        <v>0</v>
      </c>
      <c r="AE63" s="4">
        <f t="shared" si="40"/>
        <v>0</v>
      </c>
      <c r="AF63" s="4">
        <f t="shared" si="40"/>
        <v>0</v>
      </c>
      <c r="AG63" s="4">
        <f t="shared" si="40"/>
        <v>0</v>
      </c>
      <c r="AH63" s="4">
        <f t="shared" si="40"/>
        <v>0</v>
      </c>
      <c r="AI63" s="4">
        <f t="shared" si="40"/>
        <v>0</v>
      </c>
      <c r="AJ63" s="4">
        <f t="shared" si="40"/>
        <v>0</v>
      </c>
      <c r="AK63" s="4">
        <f t="shared" si="40"/>
        <v>0</v>
      </c>
      <c r="AL63" s="4">
        <f t="shared" si="44"/>
        <v>0</v>
      </c>
      <c r="AM63" s="4">
        <f t="shared" si="44"/>
        <v>0</v>
      </c>
      <c r="AN63" s="4">
        <f t="shared" si="44"/>
        <v>0</v>
      </c>
      <c r="AO63" s="4">
        <f t="shared" si="44"/>
        <v>0</v>
      </c>
      <c r="AP63" s="4">
        <f t="shared" si="44"/>
        <v>0</v>
      </c>
      <c r="AQ63" s="4">
        <f t="shared" si="44"/>
        <v>0</v>
      </c>
      <c r="AR63" s="4">
        <f t="shared" si="44"/>
        <v>0</v>
      </c>
      <c r="AS63" s="4">
        <f t="shared" si="44"/>
        <v>0</v>
      </c>
      <c r="AT63" s="4">
        <f t="shared" si="44"/>
        <v>0</v>
      </c>
      <c r="AU63" s="4">
        <f t="shared" si="44"/>
        <v>0</v>
      </c>
      <c r="AV63" s="4">
        <f t="shared" si="44"/>
        <v>0</v>
      </c>
      <c r="AW63" s="4">
        <f t="shared" si="44"/>
        <v>0</v>
      </c>
      <c r="AX63" s="4">
        <f t="shared" si="44"/>
        <v>0</v>
      </c>
      <c r="AY63" s="4">
        <f t="shared" si="45"/>
        <v>0</v>
      </c>
      <c r="AZ63" s="4">
        <f t="shared" si="45"/>
        <v>0</v>
      </c>
      <c r="BA63" s="4">
        <f t="shared" si="45"/>
        <v>0</v>
      </c>
      <c r="BB63" s="4">
        <f t="shared" si="45"/>
        <v>0</v>
      </c>
      <c r="BC63" s="4">
        <f t="shared" si="45"/>
        <v>0</v>
      </c>
      <c r="BD63" s="4">
        <f t="shared" si="45"/>
        <v>0</v>
      </c>
      <c r="BF63" s="2">
        <f t="shared" si="35"/>
        <v>2800</v>
      </c>
      <c r="BG63" s="1">
        <f t="shared" si="49"/>
        <v>0</v>
      </c>
      <c r="BH63" s="1">
        <f t="shared" si="46"/>
        <v>0</v>
      </c>
      <c r="BI63" s="1">
        <f t="shared" si="46"/>
        <v>0</v>
      </c>
      <c r="BJ63" s="1">
        <f t="shared" si="46"/>
        <v>0</v>
      </c>
      <c r="BK63" s="1">
        <f t="shared" si="46"/>
        <v>0</v>
      </c>
      <c r="BL63" s="1">
        <f t="shared" si="46"/>
        <v>0</v>
      </c>
      <c r="BM63" s="1">
        <f t="shared" si="46"/>
        <v>0</v>
      </c>
      <c r="BN63" s="1">
        <f t="shared" si="46"/>
        <v>0</v>
      </c>
      <c r="BO63" s="1">
        <f t="shared" si="46"/>
        <v>0</v>
      </c>
      <c r="BP63" s="1">
        <f t="shared" si="46"/>
        <v>0</v>
      </c>
      <c r="BQ63" s="1">
        <f t="shared" si="46"/>
        <v>0</v>
      </c>
      <c r="BR63" s="1">
        <f t="shared" si="46"/>
        <v>0</v>
      </c>
      <c r="BS63" s="1">
        <f t="shared" si="46"/>
        <v>0</v>
      </c>
      <c r="BT63" s="1">
        <f t="shared" si="46"/>
        <v>0</v>
      </c>
      <c r="BU63" s="1">
        <f t="shared" si="46"/>
        <v>0</v>
      </c>
      <c r="BV63" s="1">
        <f t="shared" si="46"/>
        <v>0</v>
      </c>
      <c r="BW63" s="1">
        <f t="shared" si="46"/>
        <v>0</v>
      </c>
      <c r="BX63" s="1">
        <f t="shared" si="41"/>
        <v>0</v>
      </c>
      <c r="BY63" s="1">
        <f t="shared" si="41"/>
        <v>0</v>
      </c>
      <c r="BZ63" s="1">
        <f t="shared" si="41"/>
        <v>0</v>
      </c>
      <c r="CA63" s="1">
        <f t="shared" si="41"/>
        <v>0</v>
      </c>
      <c r="CB63" s="1">
        <f t="shared" si="41"/>
        <v>0</v>
      </c>
      <c r="CC63" s="1">
        <f t="shared" si="41"/>
        <v>0</v>
      </c>
      <c r="CD63" s="1">
        <f t="shared" si="41"/>
        <v>0</v>
      </c>
      <c r="CE63" s="1">
        <f t="shared" si="41"/>
        <v>0</v>
      </c>
      <c r="CF63" s="1">
        <f t="shared" si="41"/>
        <v>0</v>
      </c>
      <c r="CG63" s="1">
        <f t="shared" si="41"/>
        <v>0</v>
      </c>
      <c r="CH63" s="1">
        <f t="shared" si="41"/>
        <v>0</v>
      </c>
      <c r="CI63" s="1">
        <f t="shared" si="41"/>
        <v>0</v>
      </c>
      <c r="CJ63" s="1">
        <f t="shared" si="41"/>
        <v>0</v>
      </c>
      <c r="CK63" s="1">
        <f t="shared" si="41"/>
        <v>0</v>
      </c>
      <c r="CL63" s="1">
        <f t="shared" si="41"/>
        <v>0</v>
      </c>
      <c r="CM63" s="1">
        <f t="shared" si="47"/>
        <v>0</v>
      </c>
      <c r="CN63" s="1">
        <f t="shared" si="47"/>
        <v>0</v>
      </c>
      <c r="CO63" s="1">
        <f t="shared" si="47"/>
        <v>0</v>
      </c>
      <c r="CP63" s="1">
        <f t="shared" si="47"/>
        <v>0</v>
      </c>
      <c r="CQ63" s="1">
        <f t="shared" si="47"/>
        <v>0</v>
      </c>
      <c r="CR63" s="1">
        <f t="shared" si="47"/>
        <v>0</v>
      </c>
      <c r="CS63" s="1">
        <f t="shared" si="47"/>
        <v>0</v>
      </c>
      <c r="CT63" s="1">
        <f t="shared" si="47"/>
        <v>0</v>
      </c>
      <c r="CU63" s="1">
        <f t="shared" si="47"/>
        <v>0</v>
      </c>
      <c r="CV63" s="1">
        <f t="shared" si="47"/>
        <v>0</v>
      </c>
      <c r="CW63" s="1">
        <f t="shared" si="47"/>
        <v>0</v>
      </c>
      <c r="CX63" s="1">
        <f t="shared" si="47"/>
        <v>0</v>
      </c>
      <c r="CY63" s="1">
        <f t="shared" si="47"/>
        <v>0</v>
      </c>
      <c r="CZ63" s="1">
        <f t="shared" si="47"/>
        <v>0</v>
      </c>
      <c r="DA63" s="1">
        <f t="shared" si="47"/>
        <v>0</v>
      </c>
      <c r="DB63" s="1">
        <f t="shared" si="47"/>
        <v>0</v>
      </c>
      <c r="DC63" s="1">
        <f t="shared" si="42"/>
        <v>0</v>
      </c>
      <c r="DD63" s="1">
        <f t="shared" si="42"/>
        <v>0</v>
      </c>
    </row>
    <row r="64" spans="1:108" x14ac:dyDescent="0.2">
      <c r="A64">
        <v>3000</v>
      </c>
      <c r="B64" s="1">
        <f t="shared" si="48"/>
        <v>0</v>
      </c>
      <c r="C64" s="3">
        <f t="shared" si="29"/>
        <v>0</v>
      </c>
      <c r="D64" s="5">
        <f t="shared" si="30"/>
        <v>27.202572838350537</v>
      </c>
      <c r="F64" s="1">
        <f t="shared" si="31"/>
        <v>0</v>
      </c>
      <c r="G64" s="4">
        <f t="shared" si="43"/>
        <v>443.63941519784566</v>
      </c>
      <c r="H64" s="4">
        <f t="shared" si="43"/>
        <v>381.44924346178965</v>
      </c>
      <c r="I64" s="4">
        <f t="shared" si="43"/>
        <v>333.16072130782891</v>
      </c>
      <c r="J64" s="4">
        <f t="shared" si="43"/>
        <v>294.75618449249555</v>
      </c>
      <c r="K64" s="4">
        <f t="shared" si="43"/>
        <v>263.59439455149283</v>
      </c>
      <c r="L64" s="4">
        <f t="shared" si="43"/>
        <v>237.87679792791761</v>
      </c>
      <c r="M64" s="4">
        <f t="shared" si="43"/>
        <v>216.34149239218453</v>
      </c>
      <c r="N64" s="4">
        <f t="shared" si="43"/>
        <v>198.08003793985347</v>
      </c>
      <c r="O64" s="4">
        <f t="shared" si="43"/>
        <v>182.42367473341875</v>
      </c>
      <c r="P64" s="4">
        <f t="shared" si="43"/>
        <v>168.87034884115505</v>
      </c>
      <c r="Q64" s="4">
        <f t="shared" si="43"/>
        <v>0</v>
      </c>
      <c r="R64" s="4">
        <f t="shared" si="43"/>
        <v>0</v>
      </c>
      <c r="S64" s="4">
        <f t="shared" si="43"/>
        <v>0</v>
      </c>
      <c r="T64" s="4">
        <f t="shared" si="43"/>
        <v>0</v>
      </c>
      <c r="U64" s="4">
        <f t="shared" si="43"/>
        <v>0</v>
      </c>
      <c r="V64" s="4">
        <f t="shared" si="43"/>
        <v>0</v>
      </c>
      <c r="W64" s="4">
        <f t="shared" si="40"/>
        <v>0</v>
      </c>
      <c r="X64" s="4">
        <f t="shared" si="40"/>
        <v>0</v>
      </c>
      <c r="Y64" s="4">
        <f t="shared" si="40"/>
        <v>0</v>
      </c>
      <c r="Z64" s="4">
        <f t="shared" si="40"/>
        <v>0</v>
      </c>
      <c r="AA64" s="4">
        <f t="shared" si="40"/>
        <v>0</v>
      </c>
      <c r="AB64" s="4">
        <f t="shared" si="40"/>
        <v>0</v>
      </c>
      <c r="AC64" s="4">
        <f t="shared" si="40"/>
        <v>0</v>
      </c>
      <c r="AD64" s="4">
        <f t="shared" si="40"/>
        <v>0</v>
      </c>
      <c r="AE64" s="4">
        <f t="shared" si="40"/>
        <v>0</v>
      </c>
      <c r="AF64" s="4">
        <f t="shared" si="40"/>
        <v>0</v>
      </c>
      <c r="AG64" s="4">
        <f t="shared" si="40"/>
        <v>0</v>
      </c>
      <c r="AH64" s="4">
        <f t="shared" si="40"/>
        <v>0</v>
      </c>
      <c r="AI64" s="4">
        <f t="shared" si="40"/>
        <v>0</v>
      </c>
      <c r="AJ64" s="4">
        <f t="shared" si="40"/>
        <v>0</v>
      </c>
      <c r="AK64" s="4">
        <f t="shared" si="40"/>
        <v>0</v>
      </c>
      <c r="AL64" s="4">
        <f t="shared" si="44"/>
        <v>0</v>
      </c>
      <c r="AM64" s="4">
        <f t="shared" si="44"/>
        <v>0</v>
      </c>
      <c r="AN64" s="4">
        <f t="shared" si="44"/>
        <v>0</v>
      </c>
      <c r="AO64" s="4">
        <f t="shared" si="44"/>
        <v>0</v>
      </c>
      <c r="AP64" s="4">
        <f t="shared" si="44"/>
        <v>0</v>
      </c>
      <c r="AQ64" s="4">
        <f t="shared" si="44"/>
        <v>0</v>
      </c>
      <c r="AR64" s="4">
        <f t="shared" si="44"/>
        <v>0</v>
      </c>
      <c r="AS64" s="4">
        <f t="shared" si="44"/>
        <v>0</v>
      </c>
      <c r="AT64" s="4">
        <f t="shared" si="44"/>
        <v>0</v>
      </c>
      <c r="AU64" s="4">
        <f t="shared" si="44"/>
        <v>0</v>
      </c>
      <c r="AV64" s="4">
        <f t="shared" si="44"/>
        <v>0</v>
      </c>
      <c r="AW64" s="4">
        <f t="shared" si="44"/>
        <v>0</v>
      </c>
      <c r="AX64" s="4">
        <f t="shared" si="44"/>
        <v>0</v>
      </c>
      <c r="AY64" s="4">
        <f t="shared" si="45"/>
        <v>0</v>
      </c>
      <c r="AZ64" s="4">
        <f t="shared" si="45"/>
        <v>0</v>
      </c>
      <c r="BA64" s="4">
        <f t="shared" si="45"/>
        <v>0</v>
      </c>
      <c r="BB64" s="4">
        <f t="shared" si="45"/>
        <v>0</v>
      </c>
      <c r="BC64" s="4">
        <f t="shared" si="45"/>
        <v>0</v>
      </c>
      <c r="BD64" s="4">
        <f t="shared" si="45"/>
        <v>0</v>
      </c>
      <c r="BF64" s="2">
        <f t="shared" si="35"/>
        <v>3000</v>
      </c>
      <c r="BG64" s="1">
        <f t="shared" si="49"/>
        <v>0</v>
      </c>
      <c r="BH64" s="1">
        <f t="shared" si="46"/>
        <v>0</v>
      </c>
      <c r="BI64" s="1">
        <f t="shared" si="46"/>
        <v>0</v>
      </c>
      <c r="BJ64" s="1">
        <f t="shared" si="46"/>
        <v>0</v>
      </c>
      <c r="BK64" s="1">
        <f t="shared" si="46"/>
        <v>0</v>
      </c>
      <c r="BL64" s="1">
        <f t="shared" si="46"/>
        <v>0</v>
      </c>
      <c r="BM64" s="1">
        <f t="shared" si="46"/>
        <v>0</v>
      </c>
      <c r="BN64" s="1">
        <f t="shared" si="46"/>
        <v>0</v>
      </c>
      <c r="BO64" s="1">
        <f t="shared" si="46"/>
        <v>0</v>
      </c>
      <c r="BP64" s="1">
        <f t="shared" si="46"/>
        <v>0</v>
      </c>
      <c r="BQ64" s="1">
        <f t="shared" si="46"/>
        <v>0</v>
      </c>
      <c r="BR64" s="1">
        <f t="shared" si="46"/>
        <v>0</v>
      </c>
      <c r="BS64" s="1">
        <f t="shared" si="46"/>
        <v>0</v>
      </c>
      <c r="BT64" s="1">
        <f t="shared" si="46"/>
        <v>0</v>
      </c>
      <c r="BU64" s="1">
        <f t="shared" si="46"/>
        <v>0</v>
      </c>
      <c r="BV64" s="1">
        <f t="shared" si="46"/>
        <v>0</v>
      </c>
      <c r="BW64" s="1">
        <f t="shared" si="46"/>
        <v>0</v>
      </c>
      <c r="BX64" s="1">
        <f t="shared" si="41"/>
        <v>0</v>
      </c>
      <c r="BY64" s="1">
        <f t="shared" si="41"/>
        <v>0</v>
      </c>
      <c r="BZ64" s="1">
        <f t="shared" si="41"/>
        <v>0</v>
      </c>
      <c r="CA64" s="1">
        <f t="shared" si="41"/>
        <v>0</v>
      </c>
      <c r="CB64" s="1">
        <f t="shared" si="41"/>
        <v>0</v>
      </c>
      <c r="CC64" s="1">
        <f t="shared" si="41"/>
        <v>0</v>
      </c>
      <c r="CD64" s="1">
        <f t="shared" si="41"/>
        <v>0</v>
      </c>
      <c r="CE64" s="1">
        <f t="shared" si="41"/>
        <v>0</v>
      </c>
      <c r="CF64" s="1">
        <f t="shared" si="41"/>
        <v>0</v>
      </c>
      <c r="CG64" s="1">
        <f t="shared" si="41"/>
        <v>0</v>
      </c>
      <c r="CH64" s="1">
        <f t="shared" si="41"/>
        <v>0</v>
      </c>
      <c r="CI64" s="1">
        <f t="shared" si="41"/>
        <v>0</v>
      </c>
      <c r="CJ64" s="1">
        <f t="shared" si="41"/>
        <v>0</v>
      </c>
      <c r="CK64" s="1">
        <f t="shared" si="41"/>
        <v>0</v>
      </c>
      <c r="CL64" s="1">
        <f t="shared" si="41"/>
        <v>0</v>
      </c>
      <c r="CM64" s="1">
        <f t="shared" si="47"/>
        <v>0</v>
      </c>
      <c r="CN64" s="1">
        <f t="shared" si="47"/>
        <v>0</v>
      </c>
      <c r="CO64" s="1">
        <f t="shared" si="47"/>
        <v>0</v>
      </c>
      <c r="CP64" s="1">
        <f t="shared" si="47"/>
        <v>0</v>
      </c>
      <c r="CQ64" s="1">
        <f t="shared" si="47"/>
        <v>0</v>
      </c>
      <c r="CR64" s="1">
        <f t="shared" si="47"/>
        <v>0</v>
      </c>
      <c r="CS64" s="1">
        <f t="shared" si="47"/>
        <v>0</v>
      </c>
      <c r="CT64" s="1">
        <f t="shared" si="47"/>
        <v>0</v>
      </c>
      <c r="CU64" s="1">
        <f t="shared" si="47"/>
        <v>0</v>
      </c>
      <c r="CV64" s="1">
        <f t="shared" si="47"/>
        <v>0</v>
      </c>
      <c r="CW64" s="1">
        <f t="shared" si="47"/>
        <v>0</v>
      </c>
      <c r="CX64" s="1">
        <f t="shared" si="47"/>
        <v>0</v>
      </c>
      <c r="CY64" s="1">
        <f t="shared" si="47"/>
        <v>0</v>
      </c>
      <c r="CZ64" s="1">
        <f t="shared" si="47"/>
        <v>0</v>
      </c>
      <c r="DA64" s="1">
        <f t="shared" si="47"/>
        <v>0</v>
      </c>
      <c r="DB64" s="1">
        <f t="shared" si="47"/>
        <v>0</v>
      </c>
      <c r="DC64" s="1">
        <f t="shared" si="42"/>
        <v>0</v>
      </c>
      <c r="DD64" s="1">
        <f t="shared" si="42"/>
        <v>0</v>
      </c>
    </row>
    <row r="65" spans="1:108" x14ac:dyDescent="0.2">
      <c r="A65">
        <v>3200</v>
      </c>
      <c r="B65" s="1">
        <f t="shared" si="48"/>
        <v>0</v>
      </c>
      <c r="C65" s="3">
        <f t="shared" si="29"/>
        <v>0</v>
      </c>
      <c r="D65" s="5">
        <f t="shared" si="30"/>
        <v>27.913889190058914</v>
      </c>
      <c r="F65" s="1">
        <f t="shared" si="31"/>
        <v>0</v>
      </c>
      <c r="G65" s="4">
        <f t="shared" si="43"/>
        <v>465.89373093399456</v>
      </c>
      <c r="H65" s="4">
        <f t="shared" si="43"/>
        <v>400.46187813782399</v>
      </c>
      <c r="I65" s="4">
        <f t="shared" si="43"/>
        <v>349.65732590070877</v>
      </c>
      <c r="J65" s="4">
        <f t="shared" si="43"/>
        <v>309.25636739090442</v>
      </c>
      <c r="K65" s="4">
        <f t="shared" si="43"/>
        <v>276.48037745436375</v>
      </c>
      <c r="L65" s="4">
        <f t="shared" si="43"/>
        <v>249.43633159390228</v>
      </c>
      <c r="M65" s="4">
        <f t="shared" si="43"/>
        <v>226.79560822009924</v>
      </c>
      <c r="N65" s="4">
        <f t="shared" si="43"/>
        <v>207.60153380863144</v>
      </c>
      <c r="O65" s="4">
        <f t="shared" si="43"/>
        <v>191.14975431187264</v>
      </c>
      <c r="P65" s="4">
        <f t="shared" si="43"/>
        <v>176.91146543204519</v>
      </c>
      <c r="Q65" s="4">
        <f t="shared" si="43"/>
        <v>0</v>
      </c>
      <c r="R65" s="4">
        <f t="shared" si="43"/>
        <v>0</v>
      </c>
      <c r="S65" s="4">
        <f t="shared" si="43"/>
        <v>0</v>
      </c>
      <c r="T65" s="4">
        <f t="shared" si="43"/>
        <v>0</v>
      </c>
      <c r="U65" s="4">
        <f t="shared" si="43"/>
        <v>0</v>
      </c>
      <c r="V65" s="4">
        <f t="shared" si="43"/>
        <v>0</v>
      </c>
      <c r="W65" s="4">
        <f t="shared" si="40"/>
        <v>0</v>
      </c>
      <c r="X65" s="4">
        <f t="shared" si="40"/>
        <v>0</v>
      </c>
      <c r="Y65" s="4">
        <f t="shared" si="40"/>
        <v>0</v>
      </c>
      <c r="Z65" s="4">
        <f t="shared" si="40"/>
        <v>0</v>
      </c>
      <c r="AA65" s="4">
        <f t="shared" si="40"/>
        <v>0</v>
      </c>
      <c r="AB65" s="4">
        <f t="shared" si="40"/>
        <v>0</v>
      </c>
      <c r="AC65" s="4">
        <f t="shared" si="40"/>
        <v>0</v>
      </c>
      <c r="AD65" s="4">
        <f t="shared" si="40"/>
        <v>0</v>
      </c>
      <c r="AE65" s="4">
        <f t="shared" si="40"/>
        <v>0</v>
      </c>
      <c r="AF65" s="4">
        <f t="shared" si="40"/>
        <v>0</v>
      </c>
      <c r="AG65" s="4">
        <f t="shared" si="40"/>
        <v>0</v>
      </c>
      <c r="AH65" s="4">
        <f t="shared" si="40"/>
        <v>0</v>
      </c>
      <c r="AI65" s="4">
        <f t="shared" si="40"/>
        <v>0</v>
      </c>
      <c r="AJ65" s="4">
        <f t="shared" si="40"/>
        <v>0</v>
      </c>
      <c r="AK65" s="4">
        <f t="shared" si="40"/>
        <v>0</v>
      </c>
      <c r="AL65" s="4">
        <f t="shared" si="44"/>
        <v>0</v>
      </c>
      <c r="AM65" s="4">
        <f t="shared" si="44"/>
        <v>0</v>
      </c>
      <c r="AN65" s="4">
        <f t="shared" si="44"/>
        <v>0</v>
      </c>
      <c r="AO65" s="4">
        <f t="shared" si="44"/>
        <v>0</v>
      </c>
      <c r="AP65" s="4">
        <f t="shared" si="44"/>
        <v>0</v>
      </c>
      <c r="AQ65" s="4">
        <f t="shared" si="44"/>
        <v>0</v>
      </c>
      <c r="AR65" s="4">
        <f t="shared" si="44"/>
        <v>0</v>
      </c>
      <c r="AS65" s="4">
        <f t="shared" si="44"/>
        <v>0</v>
      </c>
      <c r="AT65" s="4">
        <f t="shared" si="44"/>
        <v>0</v>
      </c>
      <c r="AU65" s="4">
        <f t="shared" si="44"/>
        <v>0</v>
      </c>
      <c r="AV65" s="4">
        <f t="shared" si="44"/>
        <v>0</v>
      </c>
      <c r="AW65" s="4">
        <f t="shared" si="44"/>
        <v>0</v>
      </c>
      <c r="AX65" s="4">
        <f t="shared" si="44"/>
        <v>0</v>
      </c>
      <c r="AY65" s="4">
        <f t="shared" si="45"/>
        <v>0</v>
      </c>
      <c r="AZ65" s="4">
        <f t="shared" si="45"/>
        <v>0</v>
      </c>
      <c r="BA65" s="4">
        <f t="shared" si="45"/>
        <v>0</v>
      </c>
      <c r="BB65" s="4">
        <f t="shared" si="45"/>
        <v>0</v>
      </c>
      <c r="BC65" s="4">
        <f t="shared" si="45"/>
        <v>0</v>
      </c>
      <c r="BD65" s="4">
        <f t="shared" si="45"/>
        <v>0</v>
      </c>
      <c r="BF65" s="2">
        <f t="shared" si="35"/>
        <v>3200</v>
      </c>
      <c r="BG65" s="1">
        <f t="shared" si="49"/>
        <v>0</v>
      </c>
      <c r="BH65" s="1">
        <f t="shared" si="46"/>
        <v>0</v>
      </c>
      <c r="BI65" s="1">
        <f t="shared" si="46"/>
        <v>0</v>
      </c>
      <c r="BJ65" s="1">
        <f t="shared" si="46"/>
        <v>0</v>
      </c>
      <c r="BK65" s="1">
        <f t="shared" si="46"/>
        <v>0</v>
      </c>
      <c r="BL65" s="1">
        <f t="shared" si="46"/>
        <v>0</v>
      </c>
      <c r="BM65" s="1">
        <f t="shared" si="46"/>
        <v>0</v>
      </c>
      <c r="BN65" s="1">
        <f t="shared" si="46"/>
        <v>0</v>
      </c>
      <c r="BO65" s="1">
        <f t="shared" si="46"/>
        <v>0</v>
      </c>
      <c r="BP65" s="1">
        <f t="shared" si="46"/>
        <v>0</v>
      </c>
      <c r="BQ65" s="1">
        <f t="shared" si="46"/>
        <v>0</v>
      </c>
      <c r="BR65" s="1">
        <f t="shared" si="46"/>
        <v>0</v>
      </c>
      <c r="BS65" s="1">
        <f t="shared" si="46"/>
        <v>0</v>
      </c>
      <c r="BT65" s="1">
        <f t="shared" si="46"/>
        <v>0</v>
      </c>
      <c r="BU65" s="1">
        <f t="shared" si="46"/>
        <v>0</v>
      </c>
      <c r="BV65" s="1">
        <f t="shared" si="46"/>
        <v>0</v>
      </c>
      <c r="BW65" s="1">
        <f t="shared" si="46"/>
        <v>0</v>
      </c>
      <c r="BX65" s="1">
        <f t="shared" si="41"/>
        <v>0</v>
      </c>
      <c r="BY65" s="1">
        <f t="shared" si="41"/>
        <v>0</v>
      </c>
      <c r="BZ65" s="1">
        <f t="shared" si="41"/>
        <v>0</v>
      </c>
      <c r="CA65" s="1">
        <f t="shared" si="41"/>
        <v>0</v>
      </c>
      <c r="CB65" s="1">
        <f t="shared" si="41"/>
        <v>0</v>
      </c>
      <c r="CC65" s="1">
        <f t="shared" si="41"/>
        <v>0</v>
      </c>
      <c r="CD65" s="1">
        <f t="shared" si="41"/>
        <v>0</v>
      </c>
      <c r="CE65" s="1">
        <f t="shared" si="41"/>
        <v>0</v>
      </c>
      <c r="CF65" s="1">
        <f t="shared" si="41"/>
        <v>0</v>
      </c>
      <c r="CG65" s="1">
        <f t="shared" si="41"/>
        <v>0</v>
      </c>
      <c r="CH65" s="1">
        <f t="shared" si="41"/>
        <v>0</v>
      </c>
      <c r="CI65" s="1">
        <f t="shared" si="41"/>
        <v>0</v>
      </c>
      <c r="CJ65" s="1">
        <f t="shared" si="41"/>
        <v>0</v>
      </c>
      <c r="CK65" s="1">
        <f t="shared" si="41"/>
        <v>0</v>
      </c>
      <c r="CL65" s="1">
        <f t="shared" si="41"/>
        <v>0</v>
      </c>
      <c r="CM65" s="1">
        <f t="shared" si="47"/>
        <v>0</v>
      </c>
      <c r="CN65" s="1">
        <f t="shared" si="47"/>
        <v>0</v>
      </c>
      <c r="CO65" s="1">
        <f t="shared" si="47"/>
        <v>0</v>
      </c>
      <c r="CP65" s="1">
        <f t="shared" si="47"/>
        <v>0</v>
      </c>
      <c r="CQ65" s="1">
        <f t="shared" si="47"/>
        <v>0</v>
      </c>
      <c r="CR65" s="1">
        <f t="shared" si="47"/>
        <v>0</v>
      </c>
      <c r="CS65" s="1">
        <f t="shared" si="47"/>
        <v>0</v>
      </c>
      <c r="CT65" s="1">
        <f t="shared" si="47"/>
        <v>0</v>
      </c>
      <c r="CU65" s="1">
        <f t="shared" si="47"/>
        <v>0</v>
      </c>
      <c r="CV65" s="1">
        <f t="shared" si="47"/>
        <v>0</v>
      </c>
      <c r="CW65" s="1">
        <f t="shared" si="47"/>
        <v>0</v>
      </c>
      <c r="CX65" s="1">
        <f t="shared" si="47"/>
        <v>0</v>
      </c>
      <c r="CY65" s="1">
        <f t="shared" si="47"/>
        <v>0</v>
      </c>
      <c r="CZ65" s="1">
        <f t="shared" si="47"/>
        <v>0</v>
      </c>
      <c r="DA65" s="1">
        <f t="shared" si="47"/>
        <v>0</v>
      </c>
      <c r="DB65" s="1">
        <f t="shared" si="47"/>
        <v>0</v>
      </c>
      <c r="DC65" s="1">
        <f t="shared" si="42"/>
        <v>0</v>
      </c>
      <c r="DD65" s="1">
        <f t="shared" si="42"/>
        <v>0</v>
      </c>
    </row>
    <row r="66" spans="1:108" x14ac:dyDescent="0.2">
      <c r="A66">
        <v>3400</v>
      </c>
      <c r="B66" s="1">
        <f t="shared" si="48"/>
        <v>0</v>
      </c>
      <c r="C66" s="3">
        <f t="shared" si="29"/>
        <v>0</v>
      </c>
      <c r="D66" s="5">
        <f t="shared" si="30"/>
        <v>28.599001628719012</v>
      </c>
      <c r="F66" s="1">
        <f t="shared" si="31"/>
        <v>0</v>
      </c>
      <c r="G66" s="4">
        <f t="shared" si="43"/>
        <v>488.37661335959314</v>
      </c>
      <c r="H66" s="4">
        <f t="shared" si="43"/>
        <v>419.65847528223941</v>
      </c>
      <c r="I66" s="4">
        <f t="shared" si="43"/>
        <v>366.30380596043477</v>
      </c>
      <c r="J66" s="4">
        <f t="shared" si="43"/>
        <v>323.87993618544493</v>
      </c>
      <c r="K66" s="4">
        <f t="shared" si="43"/>
        <v>289.46885295462818</v>
      </c>
      <c r="L66" s="4">
        <f t="shared" si="43"/>
        <v>261.08166009135294</v>
      </c>
      <c r="M66" s="4">
        <f t="shared" si="43"/>
        <v>237.32201694538637</v>
      </c>
      <c r="N66" s="4">
        <f t="shared" si="43"/>
        <v>217.18429017284194</v>
      </c>
      <c r="O66" s="4">
        <f t="shared" si="43"/>
        <v>199.92799519102755</v>
      </c>
      <c r="P66" s="4">
        <f t="shared" si="43"/>
        <v>184.99717536703849</v>
      </c>
      <c r="Q66" s="4">
        <f t="shared" si="43"/>
        <v>0</v>
      </c>
      <c r="R66" s="4">
        <f t="shared" si="43"/>
        <v>0</v>
      </c>
      <c r="S66" s="4">
        <f t="shared" si="43"/>
        <v>0</v>
      </c>
      <c r="T66" s="4">
        <f t="shared" si="43"/>
        <v>0</v>
      </c>
      <c r="U66" s="4">
        <f t="shared" si="43"/>
        <v>0</v>
      </c>
      <c r="V66" s="4">
        <f t="shared" si="43"/>
        <v>0</v>
      </c>
      <c r="W66" s="4">
        <f t="shared" si="40"/>
        <v>0</v>
      </c>
      <c r="X66" s="4">
        <f t="shared" si="40"/>
        <v>0</v>
      </c>
      <c r="Y66" s="4">
        <f t="shared" si="40"/>
        <v>0</v>
      </c>
      <c r="Z66" s="4">
        <f t="shared" si="40"/>
        <v>0</v>
      </c>
      <c r="AA66" s="4">
        <f t="shared" si="40"/>
        <v>0</v>
      </c>
      <c r="AB66" s="4">
        <f t="shared" si="40"/>
        <v>0</v>
      </c>
      <c r="AC66" s="4">
        <f t="shared" si="40"/>
        <v>0</v>
      </c>
      <c r="AD66" s="4">
        <f t="shared" si="40"/>
        <v>0</v>
      </c>
      <c r="AE66" s="4">
        <f t="shared" si="40"/>
        <v>0</v>
      </c>
      <c r="AF66" s="4">
        <f t="shared" si="40"/>
        <v>0</v>
      </c>
      <c r="AG66" s="4">
        <f t="shared" si="40"/>
        <v>0</v>
      </c>
      <c r="AH66" s="4">
        <f t="shared" si="40"/>
        <v>0</v>
      </c>
      <c r="AI66" s="4">
        <f t="shared" si="40"/>
        <v>0</v>
      </c>
      <c r="AJ66" s="4">
        <f t="shared" si="40"/>
        <v>0</v>
      </c>
      <c r="AK66" s="4">
        <f t="shared" si="40"/>
        <v>0</v>
      </c>
      <c r="AL66" s="4">
        <f t="shared" si="44"/>
        <v>0</v>
      </c>
      <c r="AM66" s="4">
        <f t="shared" si="44"/>
        <v>0</v>
      </c>
      <c r="AN66" s="4">
        <f t="shared" si="44"/>
        <v>0</v>
      </c>
      <c r="AO66" s="4">
        <f t="shared" si="44"/>
        <v>0</v>
      </c>
      <c r="AP66" s="4">
        <f t="shared" si="44"/>
        <v>0</v>
      </c>
      <c r="AQ66" s="4">
        <f t="shared" si="44"/>
        <v>0</v>
      </c>
      <c r="AR66" s="4">
        <f t="shared" si="44"/>
        <v>0</v>
      </c>
      <c r="AS66" s="4">
        <f t="shared" si="44"/>
        <v>0</v>
      </c>
      <c r="AT66" s="4">
        <f t="shared" si="44"/>
        <v>0</v>
      </c>
      <c r="AU66" s="4">
        <f t="shared" si="44"/>
        <v>0</v>
      </c>
      <c r="AV66" s="4">
        <f t="shared" si="44"/>
        <v>0</v>
      </c>
      <c r="AW66" s="4">
        <f t="shared" si="44"/>
        <v>0</v>
      </c>
      <c r="AX66" s="4">
        <f t="shared" si="44"/>
        <v>0</v>
      </c>
      <c r="AY66" s="4">
        <f t="shared" si="45"/>
        <v>0</v>
      </c>
      <c r="AZ66" s="4">
        <f t="shared" si="45"/>
        <v>0</v>
      </c>
      <c r="BA66" s="4">
        <f t="shared" si="45"/>
        <v>0</v>
      </c>
      <c r="BB66" s="4">
        <f t="shared" si="45"/>
        <v>0</v>
      </c>
      <c r="BC66" s="4">
        <f t="shared" si="45"/>
        <v>0</v>
      </c>
      <c r="BD66" s="4">
        <f t="shared" si="45"/>
        <v>0</v>
      </c>
      <c r="BF66" s="2">
        <f t="shared" si="35"/>
        <v>3400</v>
      </c>
      <c r="BG66" s="1">
        <f t="shared" si="49"/>
        <v>0</v>
      </c>
      <c r="BH66" s="1">
        <f t="shared" si="46"/>
        <v>0</v>
      </c>
      <c r="BI66" s="1">
        <f t="shared" si="46"/>
        <v>0</v>
      </c>
      <c r="BJ66" s="1">
        <f t="shared" si="46"/>
        <v>0</v>
      </c>
      <c r="BK66" s="1">
        <f t="shared" si="46"/>
        <v>0</v>
      </c>
      <c r="BL66" s="1">
        <f t="shared" si="46"/>
        <v>0</v>
      </c>
      <c r="BM66" s="1">
        <f t="shared" si="46"/>
        <v>0</v>
      </c>
      <c r="BN66" s="1">
        <f t="shared" si="46"/>
        <v>0</v>
      </c>
      <c r="BO66" s="1">
        <f t="shared" si="46"/>
        <v>0</v>
      </c>
      <c r="BP66" s="1">
        <f t="shared" si="46"/>
        <v>0</v>
      </c>
      <c r="BQ66" s="1">
        <f t="shared" si="46"/>
        <v>0</v>
      </c>
      <c r="BR66" s="1">
        <f t="shared" si="46"/>
        <v>0</v>
      </c>
      <c r="BS66" s="1">
        <f t="shared" si="46"/>
        <v>0</v>
      </c>
      <c r="BT66" s="1">
        <f t="shared" si="46"/>
        <v>0</v>
      </c>
      <c r="BU66" s="1">
        <f t="shared" si="46"/>
        <v>0</v>
      </c>
      <c r="BV66" s="1">
        <f t="shared" si="46"/>
        <v>0</v>
      </c>
      <c r="BW66" s="1">
        <f t="shared" si="46"/>
        <v>0</v>
      </c>
      <c r="BX66" s="1">
        <f t="shared" si="41"/>
        <v>0</v>
      </c>
      <c r="BY66" s="1">
        <f t="shared" si="41"/>
        <v>0</v>
      </c>
      <c r="BZ66" s="1">
        <f t="shared" si="41"/>
        <v>0</v>
      </c>
      <c r="CA66" s="1">
        <f t="shared" si="41"/>
        <v>0</v>
      </c>
      <c r="CB66" s="1">
        <f t="shared" si="41"/>
        <v>0</v>
      </c>
      <c r="CC66" s="1">
        <f t="shared" si="41"/>
        <v>0</v>
      </c>
      <c r="CD66" s="1">
        <f t="shared" si="41"/>
        <v>0</v>
      </c>
      <c r="CE66" s="1">
        <f t="shared" si="41"/>
        <v>0</v>
      </c>
      <c r="CF66" s="1">
        <f t="shared" si="41"/>
        <v>0</v>
      </c>
      <c r="CG66" s="1">
        <f t="shared" si="41"/>
        <v>0</v>
      </c>
      <c r="CH66" s="1">
        <f t="shared" si="41"/>
        <v>0</v>
      </c>
      <c r="CI66" s="1">
        <f t="shared" si="41"/>
        <v>0</v>
      </c>
      <c r="CJ66" s="1">
        <f t="shared" si="41"/>
        <v>0</v>
      </c>
      <c r="CK66" s="1">
        <f t="shared" si="41"/>
        <v>0</v>
      </c>
      <c r="CL66" s="1">
        <f t="shared" si="41"/>
        <v>0</v>
      </c>
      <c r="CM66" s="1">
        <f t="shared" si="47"/>
        <v>0</v>
      </c>
      <c r="CN66" s="1">
        <f t="shared" si="47"/>
        <v>0</v>
      </c>
      <c r="CO66" s="1">
        <f t="shared" si="47"/>
        <v>0</v>
      </c>
      <c r="CP66" s="1">
        <f t="shared" si="47"/>
        <v>0</v>
      </c>
      <c r="CQ66" s="1">
        <f t="shared" si="47"/>
        <v>0</v>
      </c>
      <c r="CR66" s="1">
        <f t="shared" si="47"/>
        <v>0</v>
      </c>
      <c r="CS66" s="1">
        <f t="shared" si="47"/>
        <v>0</v>
      </c>
      <c r="CT66" s="1">
        <f t="shared" si="47"/>
        <v>0</v>
      </c>
      <c r="CU66" s="1">
        <f t="shared" si="47"/>
        <v>0</v>
      </c>
      <c r="CV66" s="1">
        <f t="shared" si="47"/>
        <v>0</v>
      </c>
      <c r="CW66" s="1">
        <f t="shared" si="47"/>
        <v>0</v>
      </c>
      <c r="CX66" s="1">
        <f t="shared" si="47"/>
        <v>0</v>
      </c>
      <c r="CY66" s="1">
        <f t="shared" si="47"/>
        <v>0</v>
      </c>
      <c r="CZ66" s="1">
        <f t="shared" si="47"/>
        <v>0</v>
      </c>
      <c r="DA66" s="1">
        <f t="shared" si="47"/>
        <v>0</v>
      </c>
      <c r="DB66" s="1">
        <f t="shared" si="47"/>
        <v>0</v>
      </c>
      <c r="DC66" s="1">
        <f t="shared" si="42"/>
        <v>0</v>
      </c>
      <c r="DD66" s="1">
        <f t="shared" si="42"/>
        <v>0</v>
      </c>
    </row>
    <row r="67" spans="1:108" x14ac:dyDescent="0.2">
      <c r="A67">
        <v>3600</v>
      </c>
      <c r="B67" s="1">
        <f t="shared" si="48"/>
        <v>0</v>
      </c>
      <c r="C67" s="3">
        <f t="shared" si="29"/>
        <v>0</v>
      </c>
      <c r="D67" s="5">
        <f t="shared" si="30"/>
        <v>29.260336279423008</v>
      </c>
      <c r="F67" s="1">
        <f t="shared" si="31"/>
        <v>0</v>
      </c>
      <c r="G67" s="4">
        <f t="shared" si="43"/>
        <v>511.12818816437556</v>
      </c>
      <c r="H67" s="4">
        <f t="shared" si="43"/>
        <v>439.07300869539051</v>
      </c>
      <c r="I67" s="4">
        <f t="shared" si="43"/>
        <v>383.12944094325951</v>
      </c>
      <c r="J67" s="4">
        <f t="shared" si="43"/>
        <v>338.65249519890358</v>
      </c>
      <c r="K67" s="4">
        <f t="shared" si="43"/>
        <v>302.58248557362953</v>
      </c>
      <c r="L67" s="4">
        <f t="shared" si="43"/>
        <v>272.83305291161713</v>
      </c>
      <c r="M67" s="4">
        <f t="shared" si="43"/>
        <v>247.93900590715262</v>
      </c>
      <c r="N67" s="4">
        <f t="shared" si="43"/>
        <v>226.84493136646199</v>
      </c>
      <c r="O67" s="4">
        <f t="shared" si="43"/>
        <v>208.77360968683715</v>
      </c>
      <c r="P67" s="4">
        <f t="shared" si="43"/>
        <v>193.14147935360342</v>
      </c>
      <c r="Q67" s="4">
        <f t="shared" si="43"/>
        <v>0</v>
      </c>
      <c r="R67" s="4">
        <f t="shared" si="43"/>
        <v>0</v>
      </c>
      <c r="S67" s="4">
        <f t="shared" si="43"/>
        <v>0</v>
      </c>
      <c r="T67" s="4">
        <f t="shared" si="43"/>
        <v>0</v>
      </c>
      <c r="U67" s="4">
        <f t="shared" si="43"/>
        <v>0</v>
      </c>
      <c r="V67" s="4">
        <f t="shared" si="43"/>
        <v>0</v>
      </c>
      <c r="W67" s="4">
        <f t="shared" si="40"/>
        <v>0</v>
      </c>
      <c r="X67" s="4">
        <f t="shared" si="40"/>
        <v>0</v>
      </c>
      <c r="Y67" s="4">
        <f t="shared" si="40"/>
        <v>0</v>
      </c>
      <c r="Z67" s="4">
        <f t="shared" si="40"/>
        <v>0</v>
      </c>
      <c r="AA67" s="4">
        <f t="shared" si="40"/>
        <v>0</v>
      </c>
      <c r="AB67" s="4">
        <f t="shared" si="40"/>
        <v>0</v>
      </c>
      <c r="AC67" s="4">
        <f t="shared" si="40"/>
        <v>0</v>
      </c>
      <c r="AD67" s="4">
        <f t="shared" si="40"/>
        <v>0</v>
      </c>
      <c r="AE67" s="4">
        <f t="shared" si="40"/>
        <v>0</v>
      </c>
      <c r="AF67" s="4">
        <f t="shared" si="40"/>
        <v>0</v>
      </c>
      <c r="AG67" s="4">
        <f t="shared" si="40"/>
        <v>0</v>
      </c>
      <c r="AH67" s="4">
        <f t="shared" si="40"/>
        <v>0</v>
      </c>
      <c r="AI67" s="4">
        <f t="shared" si="40"/>
        <v>0</v>
      </c>
      <c r="AJ67" s="4">
        <f t="shared" si="40"/>
        <v>0</v>
      </c>
      <c r="AK67" s="4">
        <f t="shared" si="40"/>
        <v>0</v>
      </c>
      <c r="AL67" s="4">
        <f t="shared" si="44"/>
        <v>0</v>
      </c>
      <c r="AM67" s="4">
        <f t="shared" si="44"/>
        <v>0</v>
      </c>
      <c r="AN67" s="4">
        <f t="shared" si="44"/>
        <v>0</v>
      </c>
      <c r="AO67" s="4">
        <f t="shared" si="44"/>
        <v>0</v>
      </c>
      <c r="AP67" s="4">
        <f t="shared" si="44"/>
        <v>0</v>
      </c>
      <c r="AQ67" s="4">
        <f t="shared" si="44"/>
        <v>0</v>
      </c>
      <c r="AR67" s="4">
        <f t="shared" si="44"/>
        <v>0</v>
      </c>
      <c r="AS67" s="4">
        <f t="shared" si="44"/>
        <v>0</v>
      </c>
      <c r="AT67" s="4">
        <f t="shared" si="44"/>
        <v>0</v>
      </c>
      <c r="AU67" s="4">
        <f t="shared" si="44"/>
        <v>0</v>
      </c>
      <c r="AV67" s="4">
        <f t="shared" si="44"/>
        <v>0</v>
      </c>
      <c r="AW67" s="4">
        <f t="shared" si="44"/>
        <v>0</v>
      </c>
      <c r="AX67" s="4">
        <f t="shared" si="44"/>
        <v>0</v>
      </c>
      <c r="AY67" s="4">
        <f t="shared" si="45"/>
        <v>0</v>
      </c>
      <c r="AZ67" s="4">
        <f t="shared" si="45"/>
        <v>0</v>
      </c>
      <c r="BA67" s="4">
        <f t="shared" si="45"/>
        <v>0</v>
      </c>
      <c r="BB67" s="4">
        <f t="shared" si="45"/>
        <v>0</v>
      </c>
      <c r="BC67" s="4">
        <f t="shared" si="45"/>
        <v>0</v>
      </c>
      <c r="BD67" s="4">
        <f t="shared" si="45"/>
        <v>0</v>
      </c>
      <c r="BF67" s="2">
        <f t="shared" si="35"/>
        <v>3600</v>
      </c>
      <c r="BG67" s="1">
        <f t="shared" si="49"/>
        <v>0</v>
      </c>
      <c r="BH67" s="1">
        <f t="shared" si="46"/>
        <v>0</v>
      </c>
      <c r="BI67" s="1">
        <f t="shared" si="46"/>
        <v>0</v>
      </c>
      <c r="BJ67" s="1">
        <f t="shared" si="46"/>
        <v>0</v>
      </c>
      <c r="BK67" s="1">
        <f t="shared" si="46"/>
        <v>0</v>
      </c>
      <c r="BL67" s="1">
        <f t="shared" si="46"/>
        <v>0</v>
      </c>
      <c r="BM67" s="1">
        <f t="shared" si="46"/>
        <v>0</v>
      </c>
      <c r="BN67" s="1">
        <f t="shared" si="46"/>
        <v>0</v>
      </c>
      <c r="BO67" s="1">
        <f t="shared" si="46"/>
        <v>0</v>
      </c>
      <c r="BP67" s="1">
        <f t="shared" si="46"/>
        <v>0</v>
      </c>
      <c r="BQ67" s="1">
        <f t="shared" si="46"/>
        <v>0</v>
      </c>
      <c r="BR67" s="1">
        <f t="shared" si="46"/>
        <v>0</v>
      </c>
      <c r="BS67" s="1">
        <f t="shared" si="46"/>
        <v>0</v>
      </c>
      <c r="BT67" s="1">
        <f t="shared" si="46"/>
        <v>0</v>
      </c>
      <c r="BU67" s="1">
        <f t="shared" si="46"/>
        <v>0</v>
      </c>
      <c r="BV67" s="1">
        <f t="shared" si="46"/>
        <v>0</v>
      </c>
      <c r="BW67" s="1">
        <f t="shared" si="46"/>
        <v>0</v>
      </c>
      <c r="BX67" s="1">
        <f t="shared" si="41"/>
        <v>0</v>
      </c>
      <c r="BY67" s="1">
        <f t="shared" si="41"/>
        <v>0</v>
      </c>
      <c r="BZ67" s="1">
        <f t="shared" si="41"/>
        <v>0</v>
      </c>
      <c r="CA67" s="1">
        <f t="shared" si="41"/>
        <v>0</v>
      </c>
      <c r="CB67" s="1">
        <f t="shared" si="41"/>
        <v>0</v>
      </c>
      <c r="CC67" s="1">
        <f t="shared" si="41"/>
        <v>0</v>
      </c>
      <c r="CD67" s="1">
        <f t="shared" si="41"/>
        <v>0</v>
      </c>
      <c r="CE67" s="1">
        <f t="shared" si="41"/>
        <v>0</v>
      </c>
      <c r="CF67" s="1">
        <f t="shared" si="41"/>
        <v>0</v>
      </c>
      <c r="CG67" s="1">
        <f t="shared" si="41"/>
        <v>0</v>
      </c>
      <c r="CH67" s="1">
        <f t="shared" si="41"/>
        <v>0</v>
      </c>
      <c r="CI67" s="1">
        <f t="shared" si="41"/>
        <v>0</v>
      </c>
      <c r="CJ67" s="1">
        <f t="shared" si="41"/>
        <v>0</v>
      </c>
      <c r="CK67" s="1">
        <f t="shared" si="41"/>
        <v>0</v>
      </c>
      <c r="CL67" s="1">
        <f t="shared" si="41"/>
        <v>0</v>
      </c>
      <c r="CM67" s="1">
        <f t="shared" si="47"/>
        <v>0</v>
      </c>
      <c r="CN67" s="1">
        <f t="shared" si="47"/>
        <v>0</v>
      </c>
      <c r="CO67" s="1">
        <f t="shared" si="47"/>
        <v>0</v>
      </c>
      <c r="CP67" s="1">
        <f t="shared" si="47"/>
        <v>0</v>
      </c>
      <c r="CQ67" s="1">
        <f t="shared" si="47"/>
        <v>0</v>
      </c>
      <c r="CR67" s="1">
        <f t="shared" si="47"/>
        <v>0</v>
      </c>
      <c r="CS67" s="1">
        <f t="shared" si="47"/>
        <v>0</v>
      </c>
      <c r="CT67" s="1">
        <f t="shared" si="47"/>
        <v>0</v>
      </c>
      <c r="CU67" s="1">
        <f t="shared" si="47"/>
        <v>0</v>
      </c>
      <c r="CV67" s="1">
        <f t="shared" si="47"/>
        <v>0</v>
      </c>
      <c r="CW67" s="1">
        <f t="shared" si="47"/>
        <v>0</v>
      </c>
      <c r="CX67" s="1">
        <f t="shared" si="47"/>
        <v>0</v>
      </c>
      <c r="CY67" s="1">
        <f t="shared" si="47"/>
        <v>0</v>
      </c>
      <c r="CZ67" s="1">
        <f t="shared" si="47"/>
        <v>0</v>
      </c>
      <c r="DA67" s="1">
        <f t="shared" si="47"/>
        <v>0</v>
      </c>
      <c r="DB67" s="1">
        <f t="shared" si="47"/>
        <v>0</v>
      </c>
      <c r="DC67" s="1">
        <f t="shared" si="42"/>
        <v>0</v>
      </c>
      <c r="DD67" s="1">
        <f t="shared" si="42"/>
        <v>0</v>
      </c>
    </row>
    <row r="68" spans="1:108" x14ac:dyDescent="0.2">
      <c r="A68">
        <v>3800</v>
      </c>
      <c r="B68" s="1">
        <f t="shared" si="48"/>
        <v>0</v>
      </c>
      <c r="C68" s="3">
        <f t="shared" si="29"/>
        <v>0</v>
      </c>
      <c r="D68" s="5">
        <f t="shared" si="30"/>
        <v>29.899974099190104</v>
      </c>
      <c r="F68" s="1">
        <f t="shared" si="31"/>
        <v>0</v>
      </c>
      <c r="G68" s="4">
        <f t="shared" si="43"/>
        <v>534.1853246907915</v>
      </c>
      <c r="H68" s="4">
        <f t="shared" si="43"/>
        <v>458.73661931357748</v>
      </c>
      <c r="I68" s="4">
        <f t="shared" si="43"/>
        <v>400.16100431518032</v>
      </c>
      <c r="J68" s="4">
        <f t="shared" si="43"/>
        <v>353.59740277916353</v>
      </c>
      <c r="K68" s="4">
        <f t="shared" si="43"/>
        <v>315.8419057468675</v>
      </c>
      <c r="L68" s="4">
        <f t="shared" si="43"/>
        <v>284.70892156489936</v>
      </c>
      <c r="M68" s="4">
        <f t="shared" si="43"/>
        <v>258.66315323181806</v>
      </c>
      <c r="N68" s="4">
        <f t="shared" si="43"/>
        <v>236.59849991604938</v>
      </c>
      <c r="O68" s="4">
        <f t="shared" si="43"/>
        <v>217.70033869157223</v>
      </c>
      <c r="P68" s="4">
        <f t="shared" si="43"/>
        <v>201.35700326973574</v>
      </c>
      <c r="Q68" s="4">
        <f t="shared" si="43"/>
        <v>0</v>
      </c>
      <c r="R68" s="4">
        <f t="shared" si="43"/>
        <v>0</v>
      </c>
      <c r="S68" s="4">
        <f t="shared" si="43"/>
        <v>0</v>
      </c>
      <c r="T68" s="4">
        <f t="shared" si="43"/>
        <v>0</v>
      </c>
      <c r="U68" s="4">
        <f t="shared" si="43"/>
        <v>0</v>
      </c>
      <c r="V68" s="4">
        <f t="shared" si="43"/>
        <v>0</v>
      </c>
      <c r="W68" s="4">
        <f t="shared" si="40"/>
        <v>0</v>
      </c>
      <c r="X68" s="4">
        <f t="shared" si="40"/>
        <v>0</v>
      </c>
      <c r="Y68" s="4">
        <f t="shared" si="40"/>
        <v>0</v>
      </c>
      <c r="Z68" s="4">
        <f t="shared" si="40"/>
        <v>0</v>
      </c>
      <c r="AA68" s="4">
        <f t="shared" si="40"/>
        <v>0</v>
      </c>
      <c r="AB68" s="4">
        <f t="shared" si="40"/>
        <v>0</v>
      </c>
      <c r="AC68" s="4">
        <f t="shared" si="40"/>
        <v>0</v>
      </c>
      <c r="AD68" s="4">
        <f t="shared" si="40"/>
        <v>0</v>
      </c>
      <c r="AE68" s="4">
        <f t="shared" si="40"/>
        <v>0</v>
      </c>
      <c r="AF68" s="4">
        <f t="shared" si="40"/>
        <v>0</v>
      </c>
      <c r="AG68" s="4">
        <f t="shared" si="40"/>
        <v>0</v>
      </c>
      <c r="AH68" s="4">
        <f t="shared" si="40"/>
        <v>0</v>
      </c>
      <c r="AI68" s="4">
        <f t="shared" si="40"/>
        <v>0</v>
      </c>
      <c r="AJ68" s="4">
        <f t="shared" si="40"/>
        <v>0</v>
      </c>
      <c r="AK68" s="4">
        <f t="shared" si="40"/>
        <v>0</v>
      </c>
      <c r="AL68" s="4">
        <f t="shared" si="44"/>
        <v>0</v>
      </c>
      <c r="AM68" s="4">
        <f t="shared" si="44"/>
        <v>0</v>
      </c>
      <c r="AN68" s="4">
        <f t="shared" si="44"/>
        <v>0</v>
      </c>
      <c r="AO68" s="4">
        <f t="shared" si="44"/>
        <v>0</v>
      </c>
      <c r="AP68" s="4">
        <f t="shared" si="44"/>
        <v>0</v>
      </c>
      <c r="AQ68" s="4">
        <f t="shared" si="44"/>
        <v>0</v>
      </c>
      <c r="AR68" s="4">
        <f t="shared" si="44"/>
        <v>0</v>
      </c>
      <c r="AS68" s="4">
        <f t="shared" si="44"/>
        <v>0</v>
      </c>
      <c r="AT68" s="4">
        <f t="shared" si="44"/>
        <v>0</v>
      </c>
      <c r="AU68" s="4">
        <f t="shared" si="44"/>
        <v>0</v>
      </c>
      <c r="AV68" s="4">
        <f t="shared" si="44"/>
        <v>0</v>
      </c>
      <c r="AW68" s="4">
        <f t="shared" si="44"/>
        <v>0</v>
      </c>
      <c r="AX68" s="4">
        <f t="shared" si="44"/>
        <v>0</v>
      </c>
      <c r="AY68" s="4">
        <f t="shared" si="45"/>
        <v>0</v>
      </c>
      <c r="AZ68" s="4">
        <f t="shared" si="45"/>
        <v>0</v>
      </c>
      <c r="BA68" s="4">
        <f t="shared" si="45"/>
        <v>0</v>
      </c>
      <c r="BB68" s="4">
        <f t="shared" si="45"/>
        <v>0</v>
      </c>
      <c r="BC68" s="4">
        <f t="shared" si="45"/>
        <v>0</v>
      </c>
      <c r="BD68" s="4">
        <f t="shared" si="45"/>
        <v>0</v>
      </c>
      <c r="BF68" s="2">
        <f t="shared" si="35"/>
        <v>3800</v>
      </c>
      <c r="BG68" s="1">
        <f t="shared" si="49"/>
        <v>0</v>
      </c>
      <c r="BH68" s="1">
        <f t="shared" si="46"/>
        <v>0</v>
      </c>
      <c r="BI68" s="1">
        <f t="shared" si="46"/>
        <v>0</v>
      </c>
      <c r="BJ68" s="1">
        <f t="shared" si="46"/>
        <v>0</v>
      </c>
      <c r="BK68" s="1">
        <f t="shared" si="46"/>
        <v>0</v>
      </c>
      <c r="BL68" s="1">
        <f t="shared" si="46"/>
        <v>0</v>
      </c>
      <c r="BM68" s="1">
        <f t="shared" si="46"/>
        <v>0</v>
      </c>
      <c r="BN68" s="1">
        <f t="shared" si="46"/>
        <v>0</v>
      </c>
      <c r="BO68" s="1">
        <f t="shared" si="46"/>
        <v>0</v>
      </c>
      <c r="BP68" s="1">
        <f t="shared" si="46"/>
        <v>0</v>
      </c>
      <c r="BQ68" s="1">
        <f t="shared" si="46"/>
        <v>0</v>
      </c>
      <c r="BR68" s="1">
        <f t="shared" si="46"/>
        <v>0</v>
      </c>
      <c r="BS68" s="1">
        <f t="shared" si="46"/>
        <v>0</v>
      </c>
      <c r="BT68" s="1">
        <f t="shared" si="46"/>
        <v>0</v>
      </c>
      <c r="BU68" s="1">
        <f t="shared" si="46"/>
        <v>0</v>
      </c>
      <c r="BV68" s="1">
        <f t="shared" si="46"/>
        <v>0</v>
      </c>
      <c r="BW68" s="1">
        <f t="shared" si="46"/>
        <v>0</v>
      </c>
      <c r="BX68" s="1">
        <f t="shared" si="41"/>
        <v>0</v>
      </c>
      <c r="BY68" s="1">
        <f t="shared" si="41"/>
        <v>0</v>
      </c>
      <c r="BZ68" s="1">
        <f t="shared" si="41"/>
        <v>0</v>
      </c>
      <c r="CA68" s="1">
        <f t="shared" si="41"/>
        <v>0</v>
      </c>
      <c r="CB68" s="1">
        <f t="shared" si="41"/>
        <v>0</v>
      </c>
      <c r="CC68" s="1">
        <f t="shared" si="41"/>
        <v>0</v>
      </c>
      <c r="CD68" s="1">
        <f t="shared" si="41"/>
        <v>0</v>
      </c>
      <c r="CE68" s="1">
        <f t="shared" si="41"/>
        <v>0</v>
      </c>
      <c r="CF68" s="1">
        <f t="shared" si="41"/>
        <v>0</v>
      </c>
      <c r="CG68" s="1">
        <f t="shared" si="41"/>
        <v>0</v>
      </c>
      <c r="CH68" s="1">
        <f t="shared" si="41"/>
        <v>0</v>
      </c>
      <c r="CI68" s="1">
        <f t="shared" si="41"/>
        <v>0</v>
      </c>
      <c r="CJ68" s="1">
        <f t="shared" si="41"/>
        <v>0</v>
      </c>
      <c r="CK68" s="1">
        <f t="shared" si="41"/>
        <v>0</v>
      </c>
      <c r="CL68" s="1">
        <f t="shared" si="41"/>
        <v>0</v>
      </c>
      <c r="CM68" s="1">
        <f t="shared" si="47"/>
        <v>0</v>
      </c>
      <c r="CN68" s="1">
        <f t="shared" si="47"/>
        <v>0</v>
      </c>
      <c r="CO68" s="1">
        <f t="shared" si="47"/>
        <v>0</v>
      </c>
      <c r="CP68" s="1">
        <f t="shared" si="47"/>
        <v>0</v>
      </c>
      <c r="CQ68" s="1">
        <f t="shared" si="47"/>
        <v>0</v>
      </c>
      <c r="CR68" s="1">
        <f t="shared" si="47"/>
        <v>0</v>
      </c>
      <c r="CS68" s="1">
        <f t="shared" si="47"/>
        <v>0</v>
      </c>
      <c r="CT68" s="1">
        <f t="shared" si="47"/>
        <v>0</v>
      </c>
      <c r="CU68" s="1">
        <f t="shared" si="47"/>
        <v>0</v>
      </c>
      <c r="CV68" s="1">
        <f t="shared" si="47"/>
        <v>0</v>
      </c>
      <c r="CW68" s="1">
        <f t="shared" si="47"/>
        <v>0</v>
      </c>
      <c r="CX68" s="1">
        <f t="shared" si="47"/>
        <v>0</v>
      </c>
      <c r="CY68" s="1">
        <f t="shared" si="47"/>
        <v>0</v>
      </c>
      <c r="CZ68" s="1">
        <f t="shared" si="47"/>
        <v>0</v>
      </c>
      <c r="DA68" s="1">
        <f t="shared" si="47"/>
        <v>0</v>
      </c>
      <c r="DB68" s="1">
        <f t="shared" si="47"/>
        <v>0</v>
      </c>
      <c r="DC68" s="1">
        <f t="shared" si="42"/>
        <v>0</v>
      </c>
      <c r="DD68" s="1">
        <f t="shared" si="42"/>
        <v>0</v>
      </c>
    </row>
    <row r="69" spans="1:108" x14ac:dyDescent="0.2">
      <c r="A69">
        <v>4000</v>
      </c>
      <c r="B69" s="1">
        <f t="shared" si="48"/>
        <v>0</v>
      </c>
      <c r="C69" s="3">
        <f t="shared" si="29"/>
        <v>0</v>
      </c>
      <c r="D69" s="5">
        <f t="shared" si="30"/>
        <v>30.519715364343064</v>
      </c>
      <c r="F69" s="1">
        <f t="shared" si="31"/>
        <v>0</v>
      </c>
      <c r="G69" s="4">
        <f t="shared" si="43"/>
        <v>557.58235128245042</v>
      </c>
      <c r="H69" s="4">
        <f t="shared" si="43"/>
        <v>478.67823120699791</v>
      </c>
      <c r="I69" s="4">
        <f t="shared" si="43"/>
        <v>417.42330333649613</v>
      </c>
      <c r="J69" s="4">
        <f t="shared" si="43"/>
        <v>368.73625090200636</v>
      </c>
      <c r="K69" s="4">
        <f t="shared" si="43"/>
        <v>329.26614077087714</v>
      </c>
      <c r="L69" s="4">
        <f t="shared" si="43"/>
        <v>296.72621041493386</v>
      </c>
      <c r="M69" s="4">
        <f t="shared" si="43"/>
        <v>269.509685053537</v>
      </c>
      <c r="N69" s="4">
        <f t="shared" si="43"/>
        <v>246.45878519810404</v>
      </c>
      <c r="O69" s="4">
        <f t="shared" si="43"/>
        <v>226.72075576906113</v>
      </c>
      <c r="P69" s="4">
        <f t="shared" si="43"/>
        <v>209.65528091815222</v>
      </c>
      <c r="Q69" s="4">
        <f t="shared" si="43"/>
        <v>0</v>
      </c>
      <c r="R69" s="4">
        <f t="shared" si="43"/>
        <v>0</v>
      </c>
      <c r="S69" s="4">
        <f t="shared" si="43"/>
        <v>0</v>
      </c>
      <c r="T69" s="4">
        <f t="shared" si="43"/>
        <v>0</v>
      </c>
      <c r="U69" s="4">
        <f t="shared" si="43"/>
        <v>0</v>
      </c>
      <c r="V69" s="4">
        <f t="shared" si="43"/>
        <v>0</v>
      </c>
      <c r="W69" s="4">
        <f t="shared" si="40"/>
        <v>0</v>
      </c>
      <c r="X69" s="4">
        <f t="shared" si="40"/>
        <v>0</v>
      </c>
      <c r="Y69" s="4">
        <f t="shared" si="40"/>
        <v>0</v>
      </c>
      <c r="Z69" s="4">
        <f t="shared" si="40"/>
        <v>0</v>
      </c>
      <c r="AA69" s="4">
        <f t="shared" si="40"/>
        <v>0</v>
      </c>
      <c r="AB69" s="4">
        <f t="shared" si="40"/>
        <v>0</v>
      </c>
      <c r="AC69" s="4">
        <f t="shared" si="40"/>
        <v>0</v>
      </c>
      <c r="AD69" s="4">
        <f t="shared" si="40"/>
        <v>0</v>
      </c>
      <c r="AE69" s="4">
        <f t="shared" si="40"/>
        <v>0</v>
      </c>
      <c r="AF69" s="4">
        <f t="shared" si="40"/>
        <v>0</v>
      </c>
      <c r="AG69" s="4">
        <f t="shared" si="40"/>
        <v>0</v>
      </c>
      <c r="AH69" s="4">
        <f t="shared" si="40"/>
        <v>0</v>
      </c>
      <c r="AI69" s="4">
        <f t="shared" si="40"/>
        <v>0</v>
      </c>
      <c r="AJ69" s="4">
        <f t="shared" si="40"/>
        <v>0</v>
      </c>
      <c r="AK69" s="4">
        <f t="shared" si="40"/>
        <v>0</v>
      </c>
      <c r="AL69" s="4">
        <f t="shared" si="44"/>
        <v>0</v>
      </c>
      <c r="AM69" s="4">
        <f t="shared" si="44"/>
        <v>0</v>
      </c>
      <c r="AN69" s="4">
        <f t="shared" si="44"/>
        <v>0</v>
      </c>
      <c r="AO69" s="4">
        <f t="shared" si="44"/>
        <v>0</v>
      </c>
      <c r="AP69" s="4">
        <f t="shared" si="44"/>
        <v>0</v>
      </c>
      <c r="AQ69" s="4">
        <f t="shared" si="44"/>
        <v>0</v>
      </c>
      <c r="AR69" s="4">
        <f t="shared" si="44"/>
        <v>0</v>
      </c>
      <c r="AS69" s="4">
        <f t="shared" si="44"/>
        <v>0</v>
      </c>
      <c r="AT69" s="4">
        <f t="shared" si="44"/>
        <v>0</v>
      </c>
      <c r="AU69" s="4">
        <f t="shared" si="44"/>
        <v>0</v>
      </c>
      <c r="AV69" s="4">
        <f t="shared" si="44"/>
        <v>0</v>
      </c>
      <c r="AW69" s="4">
        <f t="shared" si="44"/>
        <v>0</v>
      </c>
      <c r="AX69" s="4">
        <f t="shared" si="44"/>
        <v>0</v>
      </c>
      <c r="AY69" s="4">
        <f t="shared" si="45"/>
        <v>0</v>
      </c>
      <c r="AZ69" s="4">
        <f t="shared" si="45"/>
        <v>0</v>
      </c>
      <c r="BA69" s="4">
        <f t="shared" si="45"/>
        <v>0</v>
      </c>
      <c r="BB69" s="4">
        <f t="shared" si="45"/>
        <v>0</v>
      </c>
      <c r="BC69" s="4">
        <f t="shared" si="45"/>
        <v>0</v>
      </c>
      <c r="BD69" s="4">
        <f t="shared" si="45"/>
        <v>0</v>
      </c>
      <c r="BF69" s="2">
        <f t="shared" si="35"/>
        <v>4000</v>
      </c>
      <c r="BG69" s="1">
        <f t="shared" si="49"/>
        <v>0</v>
      </c>
      <c r="BH69" s="1">
        <f t="shared" si="46"/>
        <v>0</v>
      </c>
      <c r="BI69" s="1">
        <f t="shared" si="46"/>
        <v>0</v>
      </c>
      <c r="BJ69" s="1">
        <f t="shared" si="46"/>
        <v>0</v>
      </c>
      <c r="BK69" s="1">
        <f t="shared" si="46"/>
        <v>0</v>
      </c>
      <c r="BL69" s="1">
        <f t="shared" si="46"/>
        <v>0</v>
      </c>
      <c r="BM69" s="1">
        <f t="shared" si="46"/>
        <v>0</v>
      </c>
      <c r="BN69" s="1">
        <f t="shared" si="46"/>
        <v>0</v>
      </c>
      <c r="BO69" s="1">
        <f t="shared" si="46"/>
        <v>0</v>
      </c>
      <c r="BP69" s="1">
        <f t="shared" si="46"/>
        <v>0</v>
      </c>
      <c r="BQ69" s="1">
        <f t="shared" si="46"/>
        <v>0</v>
      </c>
      <c r="BR69" s="1">
        <f t="shared" si="46"/>
        <v>0</v>
      </c>
      <c r="BS69" s="1">
        <f t="shared" si="46"/>
        <v>0</v>
      </c>
      <c r="BT69" s="1">
        <f t="shared" si="46"/>
        <v>0</v>
      </c>
      <c r="BU69" s="1">
        <f t="shared" si="46"/>
        <v>0</v>
      </c>
      <c r="BV69" s="1">
        <f t="shared" si="46"/>
        <v>0</v>
      </c>
      <c r="BW69" s="1">
        <f t="shared" si="46"/>
        <v>0</v>
      </c>
      <c r="BX69" s="1">
        <f t="shared" si="41"/>
        <v>0</v>
      </c>
      <c r="BY69" s="1">
        <f t="shared" si="41"/>
        <v>0</v>
      </c>
      <c r="BZ69" s="1">
        <f t="shared" si="41"/>
        <v>0</v>
      </c>
      <c r="CA69" s="1">
        <f t="shared" si="41"/>
        <v>0</v>
      </c>
      <c r="CB69" s="1">
        <f t="shared" si="41"/>
        <v>0</v>
      </c>
      <c r="CC69" s="1">
        <f t="shared" si="41"/>
        <v>0</v>
      </c>
      <c r="CD69" s="1">
        <f t="shared" si="41"/>
        <v>0</v>
      </c>
      <c r="CE69" s="1">
        <f t="shared" si="41"/>
        <v>0</v>
      </c>
      <c r="CF69" s="1">
        <f t="shared" si="41"/>
        <v>0</v>
      </c>
      <c r="CG69" s="1">
        <f t="shared" si="41"/>
        <v>0</v>
      </c>
      <c r="CH69" s="1">
        <f t="shared" si="41"/>
        <v>0</v>
      </c>
      <c r="CI69" s="1">
        <f t="shared" si="41"/>
        <v>0</v>
      </c>
      <c r="CJ69" s="1">
        <f t="shared" si="41"/>
        <v>0</v>
      </c>
      <c r="CK69" s="1">
        <f t="shared" si="41"/>
        <v>0</v>
      </c>
      <c r="CL69" s="1">
        <f t="shared" si="41"/>
        <v>0</v>
      </c>
      <c r="CM69" s="1">
        <f t="shared" si="47"/>
        <v>0</v>
      </c>
      <c r="CN69" s="1">
        <f t="shared" si="47"/>
        <v>0</v>
      </c>
      <c r="CO69" s="1">
        <f t="shared" si="47"/>
        <v>0</v>
      </c>
      <c r="CP69" s="1">
        <f t="shared" si="47"/>
        <v>0</v>
      </c>
      <c r="CQ69" s="1">
        <f t="shared" si="47"/>
        <v>0</v>
      </c>
      <c r="CR69" s="1">
        <f t="shared" si="47"/>
        <v>0</v>
      </c>
      <c r="CS69" s="1">
        <f t="shared" si="47"/>
        <v>0</v>
      </c>
      <c r="CT69" s="1">
        <f t="shared" si="47"/>
        <v>0</v>
      </c>
      <c r="CU69" s="1">
        <f t="shared" si="47"/>
        <v>0</v>
      </c>
      <c r="CV69" s="1">
        <f t="shared" si="47"/>
        <v>0</v>
      </c>
      <c r="CW69" s="1">
        <f t="shared" si="47"/>
        <v>0</v>
      </c>
      <c r="CX69" s="1">
        <f t="shared" si="47"/>
        <v>0</v>
      </c>
      <c r="CY69" s="1">
        <f t="shared" si="47"/>
        <v>0</v>
      </c>
      <c r="CZ69" s="1">
        <f t="shared" si="47"/>
        <v>0</v>
      </c>
      <c r="DA69" s="1">
        <f t="shared" si="47"/>
        <v>0</v>
      </c>
      <c r="DB69" s="1">
        <f t="shared" si="47"/>
        <v>0</v>
      </c>
      <c r="DC69" s="1">
        <f t="shared" si="42"/>
        <v>0</v>
      </c>
      <c r="DD69" s="1">
        <f t="shared" si="42"/>
        <v>0</v>
      </c>
    </row>
    <row r="70" spans="1:108" x14ac:dyDescent="0.2">
      <c r="A70">
        <v>4200</v>
      </c>
      <c r="B70" s="1">
        <f t="shared" si="48"/>
        <v>0</v>
      </c>
      <c r="C70" s="3">
        <f t="shared" si="29"/>
        <v>0</v>
      </c>
      <c r="D70" s="5">
        <f t="shared" si="30"/>
        <v>31.121129518492289</v>
      </c>
      <c r="F70" s="1">
        <f t="shared" si="31"/>
        <v>0</v>
      </c>
      <c r="G70" s="4">
        <f t="shared" si="43"/>
        <v>581.35161314919117</v>
      </c>
      <c r="H70" s="4">
        <f t="shared" si="43"/>
        <v>498.92503155092709</v>
      </c>
      <c r="I70" s="4">
        <f t="shared" si="43"/>
        <v>434.93959932552133</v>
      </c>
      <c r="J70" s="4">
        <f t="shared" si="43"/>
        <v>384.08923832650601</v>
      </c>
      <c r="K70" s="4">
        <f t="shared" si="43"/>
        <v>342.87294990463005</v>
      </c>
      <c r="L70" s="4">
        <f t="shared" si="43"/>
        <v>308.90070043434139</v>
      </c>
      <c r="M70" s="4">
        <f t="shared" si="43"/>
        <v>280.49275302203154</v>
      </c>
      <c r="N70" s="4">
        <f t="shared" si="43"/>
        <v>256.43857866000349</v>
      </c>
      <c r="O70" s="4">
        <f t="shared" si="43"/>
        <v>235.84650322365678</v>
      </c>
      <c r="P70" s="4">
        <f t="shared" si="43"/>
        <v>218.04697346540945</v>
      </c>
      <c r="Q70" s="4">
        <f t="shared" si="43"/>
        <v>0</v>
      </c>
      <c r="R70" s="4">
        <f t="shared" si="43"/>
        <v>0</v>
      </c>
      <c r="S70" s="4">
        <f t="shared" si="43"/>
        <v>0</v>
      </c>
      <c r="T70" s="4">
        <f t="shared" si="43"/>
        <v>0</v>
      </c>
      <c r="U70" s="4">
        <f t="shared" si="43"/>
        <v>0</v>
      </c>
      <c r="V70" s="4">
        <f t="shared" si="43"/>
        <v>0</v>
      </c>
      <c r="W70" s="4">
        <f t="shared" si="40"/>
        <v>0</v>
      </c>
      <c r="X70" s="4">
        <f t="shared" si="40"/>
        <v>0</v>
      </c>
      <c r="Y70" s="4">
        <f t="shared" si="40"/>
        <v>0</v>
      </c>
      <c r="Z70" s="4">
        <f t="shared" si="40"/>
        <v>0</v>
      </c>
      <c r="AA70" s="4">
        <f t="shared" si="40"/>
        <v>0</v>
      </c>
      <c r="AB70" s="4">
        <f t="shared" si="40"/>
        <v>0</v>
      </c>
      <c r="AC70" s="4">
        <f t="shared" si="40"/>
        <v>0</v>
      </c>
      <c r="AD70" s="4">
        <f t="shared" si="40"/>
        <v>0</v>
      </c>
      <c r="AE70" s="4">
        <f t="shared" si="40"/>
        <v>0</v>
      </c>
      <c r="AF70" s="4">
        <f t="shared" si="40"/>
        <v>0</v>
      </c>
      <c r="AG70" s="4">
        <f t="shared" si="40"/>
        <v>0</v>
      </c>
      <c r="AH70" s="4">
        <f t="shared" si="40"/>
        <v>0</v>
      </c>
      <c r="AI70" s="4">
        <f t="shared" si="40"/>
        <v>0</v>
      </c>
      <c r="AJ70" s="4">
        <f t="shared" si="40"/>
        <v>0</v>
      </c>
      <c r="AK70" s="4">
        <f t="shared" si="40"/>
        <v>0</v>
      </c>
      <c r="AL70" s="4">
        <f t="shared" si="44"/>
        <v>0</v>
      </c>
      <c r="AM70" s="4">
        <f t="shared" si="44"/>
        <v>0</v>
      </c>
      <c r="AN70" s="4">
        <f t="shared" si="44"/>
        <v>0</v>
      </c>
      <c r="AO70" s="4">
        <f t="shared" si="44"/>
        <v>0</v>
      </c>
      <c r="AP70" s="4">
        <f t="shared" si="44"/>
        <v>0</v>
      </c>
      <c r="AQ70" s="4">
        <f t="shared" si="44"/>
        <v>0</v>
      </c>
      <c r="AR70" s="4">
        <f t="shared" si="44"/>
        <v>0</v>
      </c>
      <c r="AS70" s="4">
        <f t="shared" si="44"/>
        <v>0</v>
      </c>
      <c r="AT70" s="4">
        <f t="shared" si="44"/>
        <v>0</v>
      </c>
      <c r="AU70" s="4">
        <f t="shared" si="44"/>
        <v>0</v>
      </c>
      <c r="AV70" s="4">
        <f t="shared" si="44"/>
        <v>0</v>
      </c>
      <c r="AW70" s="4">
        <f t="shared" si="44"/>
        <v>0</v>
      </c>
      <c r="AX70" s="4">
        <f t="shared" si="44"/>
        <v>0</v>
      </c>
      <c r="AY70" s="4">
        <f t="shared" si="45"/>
        <v>0</v>
      </c>
      <c r="AZ70" s="4">
        <f t="shared" si="45"/>
        <v>0</v>
      </c>
      <c r="BA70" s="4">
        <f t="shared" si="45"/>
        <v>0</v>
      </c>
      <c r="BB70" s="4">
        <f t="shared" si="45"/>
        <v>0</v>
      </c>
      <c r="BC70" s="4">
        <f t="shared" si="45"/>
        <v>0</v>
      </c>
      <c r="BD70" s="4">
        <f t="shared" si="45"/>
        <v>0</v>
      </c>
      <c r="BF70" s="2">
        <f t="shared" si="35"/>
        <v>4200</v>
      </c>
      <c r="BG70" s="1">
        <f t="shared" si="49"/>
        <v>0</v>
      </c>
      <c r="BH70" s="1">
        <f t="shared" si="46"/>
        <v>0</v>
      </c>
      <c r="BI70" s="1">
        <f t="shared" si="46"/>
        <v>0</v>
      </c>
      <c r="BJ70" s="1">
        <f t="shared" si="46"/>
        <v>0</v>
      </c>
      <c r="BK70" s="1">
        <f t="shared" si="46"/>
        <v>0</v>
      </c>
      <c r="BL70" s="1">
        <f t="shared" si="46"/>
        <v>0</v>
      </c>
      <c r="BM70" s="1">
        <f t="shared" si="46"/>
        <v>0</v>
      </c>
      <c r="BN70" s="1">
        <f t="shared" si="46"/>
        <v>0</v>
      </c>
      <c r="BO70" s="1">
        <f t="shared" si="46"/>
        <v>0</v>
      </c>
      <c r="BP70" s="1">
        <f t="shared" si="46"/>
        <v>0</v>
      </c>
      <c r="BQ70" s="1">
        <f t="shared" si="46"/>
        <v>0</v>
      </c>
      <c r="BR70" s="1">
        <f t="shared" si="46"/>
        <v>0</v>
      </c>
      <c r="BS70" s="1">
        <f t="shared" si="46"/>
        <v>0</v>
      </c>
      <c r="BT70" s="1">
        <f t="shared" si="46"/>
        <v>0</v>
      </c>
      <c r="BU70" s="1">
        <f t="shared" si="46"/>
        <v>0</v>
      </c>
      <c r="BV70" s="1">
        <f t="shared" si="46"/>
        <v>0</v>
      </c>
      <c r="BW70" s="1">
        <f t="shared" si="46"/>
        <v>0</v>
      </c>
      <c r="BX70" s="1">
        <f t="shared" si="41"/>
        <v>0</v>
      </c>
      <c r="BY70" s="1">
        <f t="shared" si="41"/>
        <v>0</v>
      </c>
      <c r="BZ70" s="1">
        <f t="shared" si="41"/>
        <v>0</v>
      </c>
      <c r="CA70" s="1">
        <f t="shared" si="41"/>
        <v>0</v>
      </c>
      <c r="CB70" s="1">
        <f t="shared" si="41"/>
        <v>0</v>
      </c>
      <c r="CC70" s="1">
        <f t="shared" si="41"/>
        <v>0</v>
      </c>
      <c r="CD70" s="1">
        <f t="shared" si="41"/>
        <v>0</v>
      </c>
      <c r="CE70" s="1">
        <f t="shared" si="41"/>
        <v>0</v>
      </c>
      <c r="CF70" s="1">
        <f t="shared" si="41"/>
        <v>0</v>
      </c>
      <c r="CG70" s="1">
        <f t="shared" si="41"/>
        <v>0</v>
      </c>
      <c r="CH70" s="1">
        <f t="shared" si="41"/>
        <v>0</v>
      </c>
      <c r="CI70" s="1">
        <f t="shared" si="41"/>
        <v>0</v>
      </c>
      <c r="CJ70" s="1">
        <f t="shared" si="41"/>
        <v>0</v>
      </c>
      <c r="CK70" s="1">
        <f t="shared" si="41"/>
        <v>0</v>
      </c>
      <c r="CL70" s="1">
        <f t="shared" si="41"/>
        <v>0</v>
      </c>
      <c r="CM70" s="1">
        <f t="shared" si="47"/>
        <v>0</v>
      </c>
      <c r="CN70" s="1">
        <f t="shared" si="47"/>
        <v>0</v>
      </c>
      <c r="CO70" s="1">
        <f t="shared" si="47"/>
        <v>0</v>
      </c>
      <c r="CP70" s="1">
        <f t="shared" si="47"/>
        <v>0</v>
      </c>
      <c r="CQ70" s="1">
        <f t="shared" si="47"/>
        <v>0</v>
      </c>
      <c r="CR70" s="1">
        <f t="shared" si="47"/>
        <v>0</v>
      </c>
      <c r="CS70" s="1">
        <f t="shared" si="47"/>
        <v>0</v>
      </c>
      <c r="CT70" s="1">
        <f t="shared" si="47"/>
        <v>0</v>
      </c>
      <c r="CU70" s="1">
        <f t="shared" si="47"/>
        <v>0</v>
      </c>
      <c r="CV70" s="1">
        <f t="shared" si="47"/>
        <v>0</v>
      </c>
      <c r="CW70" s="1">
        <f t="shared" si="47"/>
        <v>0</v>
      </c>
      <c r="CX70" s="1">
        <f t="shared" si="47"/>
        <v>0</v>
      </c>
      <c r="CY70" s="1">
        <f t="shared" si="47"/>
        <v>0</v>
      </c>
      <c r="CZ70" s="1">
        <f t="shared" si="47"/>
        <v>0</v>
      </c>
      <c r="DA70" s="1">
        <f t="shared" si="47"/>
        <v>0</v>
      </c>
      <c r="DB70" s="1">
        <f t="shared" si="47"/>
        <v>0</v>
      </c>
      <c r="DC70" s="1">
        <f t="shared" si="42"/>
        <v>0</v>
      </c>
      <c r="DD70" s="1">
        <f t="shared" si="42"/>
        <v>0</v>
      </c>
    </row>
    <row r="71" spans="1:108" x14ac:dyDescent="0.2">
      <c r="A71">
        <v>4400</v>
      </c>
      <c r="B71" s="1">
        <f t="shared" si="48"/>
        <v>0</v>
      </c>
      <c r="C71" s="3">
        <f t="shared" si="29"/>
        <v>0</v>
      </c>
      <c r="D71" s="5">
        <f t="shared" si="30"/>
        <v>31.705594237616523</v>
      </c>
      <c r="F71" s="1">
        <f t="shared" si="31"/>
        <v>0</v>
      </c>
      <c r="G71" s="4">
        <f t="shared" si="43"/>
        <v>605.52391424424422</v>
      </c>
      <c r="H71" s="4">
        <f t="shared" si="43"/>
        <v>519.50285042253142</v>
      </c>
      <c r="I71" s="4">
        <f t="shared" si="43"/>
        <v>452.73193990962227</v>
      </c>
      <c r="J71" s="4">
        <f t="shared" si="43"/>
        <v>399.67546536795982</v>
      </c>
      <c r="K71" s="4">
        <f t="shared" si="43"/>
        <v>356.6790888964461</v>
      </c>
      <c r="L71" s="4">
        <f t="shared" si="43"/>
        <v>321.24724884028598</v>
      </c>
      <c r="M71" s="4">
        <f t="shared" si="43"/>
        <v>291.62565311417114</v>
      </c>
      <c r="N71" s="4">
        <f t="shared" si="43"/>
        <v>266.54987496461081</v>
      </c>
      <c r="O71" s="4">
        <f t="shared" si="43"/>
        <v>245.08847807488388</v>
      </c>
      <c r="P71" s="4">
        <f t="shared" si="43"/>
        <v>226.54204225391584</v>
      </c>
      <c r="Q71" s="4">
        <f t="shared" si="43"/>
        <v>0</v>
      </c>
      <c r="R71" s="4">
        <f t="shared" si="43"/>
        <v>0</v>
      </c>
      <c r="S71" s="4">
        <f t="shared" si="43"/>
        <v>0</v>
      </c>
      <c r="T71" s="4">
        <f t="shared" si="43"/>
        <v>0</v>
      </c>
      <c r="U71" s="4">
        <f t="shared" si="43"/>
        <v>0</v>
      </c>
      <c r="V71" s="4">
        <f t="shared" si="43"/>
        <v>0</v>
      </c>
      <c r="W71" s="4">
        <f t="shared" si="40"/>
        <v>0</v>
      </c>
      <c r="X71" s="4">
        <f t="shared" si="40"/>
        <v>0</v>
      </c>
      <c r="Y71" s="4">
        <f t="shared" si="40"/>
        <v>0</v>
      </c>
      <c r="Z71" s="4">
        <f t="shared" si="40"/>
        <v>0</v>
      </c>
      <c r="AA71" s="4">
        <f t="shared" si="40"/>
        <v>0</v>
      </c>
      <c r="AB71" s="4">
        <f t="shared" si="40"/>
        <v>0</v>
      </c>
      <c r="AC71" s="4">
        <f t="shared" si="40"/>
        <v>0</v>
      </c>
      <c r="AD71" s="4">
        <f t="shared" si="40"/>
        <v>0</v>
      </c>
      <c r="AE71" s="4">
        <f t="shared" si="40"/>
        <v>0</v>
      </c>
      <c r="AF71" s="4">
        <f t="shared" si="40"/>
        <v>0</v>
      </c>
      <c r="AG71" s="4">
        <f t="shared" si="40"/>
        <v>0</v>
      </c>
      <c r="AH71" s="4">
        <f t="shared" si="40"/>
        <v>0</v>
      </c>
      <c r="AI71" s="4">
        <f t="shared" si="40"/>
        <v>0</v>
      </c>
      <c r="AJ71" s="4">
        <f t="shared" si="40"/>
        <v>0</v>
      </c>
      <c r="AK71" s="4">
        <f t="shared" si="40"/>
        <v>0</v>
      </c>
      <c r="AL71" s="4">
        <f t="shared" si="44"/>
        <v>0</v>
      </c>
      <c r="AM71" s="4">
        <f t="shared" si="44"/>
        <v>0</v>
      </c>
      <c r="AN71" s="4">
        <f t="shared" si="44"/>
        <v>0</v>
      </c>
      <c r="AO71" s="4">
        <f t="shared" si="44"/>
        <v>0</v>
      </c>
      <c r="AP71" s="4">
        <f t="shared" si="44"/>
        <v>0</v>
      </c>
      <c r="AQ71" s="4">
        <f t="shared" si="44"/>
        <v>0</v>
      </c>
      <c r="AR71" s="4">
        <f t="shared" si="44"/>
        <v>0</v>
      </c>
      <c r="AS71" s="4">
        <f t="shared" si="44"/>
        <v>0</v>
      </c>
      <c r="AT71" s="4">
        <f t="shared" si="44"/>
        <v>0</v>
      </c>
      <c r="AU71" s="4">
        <f t="shared" si="44"/>
        <v>0</v>
      </c>
      <c r="AV71" s="4">
        <f t="shared" si="44"/>
        <v>0</v>
      </c>
      <c r="AW71" s="4">
        <f t="shared" si="44"/>
        <v>0</v>
      </c>
      <c r="AX71" s="4">
        <f t="shared" si="44"/>
        <v>0</v>
      </c>
      <c r="AY71" s="4">
        <f t="shared" si="45"/>
        <v>0</v>
      </c>
      <c r="AZ71" s="4">
        <f t="shared" si="45"/>
        <v>0</v>
      </c>
      <c r="BA71" s="4">
        <f t="shared" si="45"/>
        <v>0</v>
      </c>
      <c r="BB71" s="4">
        <f t="shared" si="45"/>
        <v>0</v>
      </c>
      <c r="BC71" s="4">
        <f t="shared" si="45"/>
        <v>0</v>
      </c>
      <c r="BD71" s="4">
        <f t="shared" si="45"/>
        <v>0</v>
      </c>
      <c r="BF71" s="2">
        <f t="shared" si="35"/>
        <v>4400</v>
      </c>
      <c r="BG71" s="1">
        <f t="shared" si="49"/>
        <v>0</v>
      </c>
      <c r="BH71" s="1">
        <f t="shared" si="46"/>
        <v>0</v>
      </c>
      <c r="BI71" s="1">
        <f t="shared" si="46"/>
        <v>0</v>
      </c>
      <c r="BJ71" s="1">
        <f t="shared" si="46"/>
        <v>0</v>
      </c>
      <c r="BK71" s="1">
        <f t="shared" si="46"/>
        <v>0</v>
      </c>
      <c r="BL71" s="1">
        <f t="shared" si="46"/>
        <v>0</v>
      </c>
      <c r="BM71" s="1">
        <f t="shared" si="46"/>
        <v>0</v>
      </c>
      <c r="BN71" s="1">
        <f t="shared" si="46"/>
        <v>0</v>
      </c>
      <c r="BO71" s="1">
        <f t="shared" si="46"/>
        <v>0</v>
      </c>
      <c r="BP71" s="1">
        <f t="shared" si="46"/>
        <v>0</v>
      </c>
      <c r="BQ71" s="1">
        <f t="shared" si="46"/>
        <v>0</v>
      </c>
      <c r="BR71" s="1">
        <f t="shared" si="46"/>
        <v>0</v>
      </c>
      <c r="BS71" s="1">
        <f t="shared" si="46"/>
        <v>0</v>
      </c>
      <c r="BT71" s="1">
        <f t="shared" si="46"/>
        <v>0</v>
      </c>
      <c r="BU71" s="1">
        <f t="shared" si="46"/>
        <v>0</v>
      </c>
      <c r="BV71" s="1">
        <f t="shared" si="46"/>
        <v>0</v>
      </c>
      <c r="BW71" s="1">
        <f t="shared" si="46"/>
        <v>0</v>
      </c>
      <c r="BX71" s="1">
        <f t="shared" si="41"/>
        <v>0</v>
      </c>
      <c r="BY71" s="1">
        <f t="shared" si="41"/>
        <v>0</v>
      </c>
      <c r="BZ71" s="1">
        <f t="shared" si="41"/>
        <v>0</v>
      </c>
      <c r="CA71" s="1">
        <f t="shared" si="41"/>
        <v>0</v>
      </c>
      <c r="CB71" s="1">
        <f t="shared" si="41"/>
        <v>0</v>
      </c>
      <c r="CC71" s="1">
        <f t="shared" si="41"/>
        <v>0</v>
      </c>
      <c r="CD71" s="1">
        <f t="shared" si="41"/>
        <v>0</v>
      </c>
      <c r="CE71" s="1">
        <f t="shared" si="41"/>
        <v>0</v>
      </c>
      <c r="CF71" s="1">
        <f t="shared" si="41"/>
        <v>0</v>
      </c>
      <c r="CG71" s="1">
        <f t="shared" si="41"/>
        <v>0</v>
      </c>
      <c r="CH71" s="1">
        <f t="shared" si="41"/>
        <v>0</v>
      </c>
      <c r="CI71" s="1">
        <f t="shared" si="41"/>
        <v>0</v>
      </c>
      <c r="CJ71" s="1">
        <f t="shared" si="41"/>
        <v>0</v>
      </c>
      <c r="CK71" s="1">
        <f t="shared" si="41"/>
        <v>0</v>
      </c>
      <c r="CL71" s="1">
        <f t="shared" si="41"/>
        <v>0</v>
      </c>
      <c r="CM71" s="1">
        <f t="shared" si="47"/>
        <v>0</v>
      </c>
      <c r="CN71" s="1">
        <f t="shared" si="47"/>
        <v>0</v>
      </c>
      <c r="CO71" s="1">
        <f t="shared" si="47"/>
        <v>0</v>
      </c>
      <c r="CP71" s="1">
        <f t="shared" si="47"/>
        <v>0</v>
      </c>
      <c r="CQ71" s="1">
        <f t="shared" si="47"/>
        <v>0</v>
      </c>
      <c r="CR71" s="1">
        <f t="shared" si="47"/>
        <v>0</v>
      </c>
      <c r="CS71" s="1">
        <f t="shared" si="47"/>
        <v>0</v>
      </c>
      <c r="CT71" s="1">
        <f t="shared" si="47"/>
        <v>0</v>
      </c>
      <c r="CU71" s="1">
        <f t="shared" si="47"/>
        <v>0</v>
      </c>
      <c r="CV71" s="1">
        <f t="shared" si="47"/>
        <v>0</v>
      </c>
      <c r="CW71" s="1">
        <f t="shared" si="47"/>
        <v>0</v>
      </c>
      <c r="CX71" s="1">
        <f t="shared" si="47"/>
        <v>0</v>
      </c>
      <c r="CY71" s="1">
        <f t="shared" si="47"/>
        <v>0</v>
      </c>
      <c r="CZ71" s="1">
        <f t="shared" si="47"/>
        <v>0</v>
      </c>
      <c r="DA71" s="1">
        <f t="shared" si="47"/>
        <v>0</v>
      </c>
      <c r="DB71" s="1">
        <f t="shared" si="47"/>
        <v>0</v>
      </c>
      <c r="DC71" s="1">
        <f t="shared" si="42"/>
        <v>0</v>
      </c>
      <c r="DD71" s="1">
        <f t="shared" si="42"/>
        <v>0</v>
      </c>
    </row>
    <row r="72" spans="1:108" x14ac:dyDescent="0.2">
      <c r="A72">
        <v>4600</v>
      </c>
      <c r="B72" s="1">
        <f t="shared" si="48"/>
        <v>0</v>
      </c>
      <c r="C72" s="3">
        <f t="shared" si="29"/>
        <v>0</v>
      </c>
      <c r="D72" s="5">
        <f t="shared" si="30"/>
        <v>32.274326424917632</v>
      </c>
      <c r="F72" s="1">
        <f t="shared" si="31"/>
        <v>0</v>
      </c>
      <c r="G72" s="4">
        <f t="shared" si="43"/>
        <v>630.12887241090868</v>
      </c>
      <c r="H72" s="4">
        <f t="shared" si="43"/>
        <v>540.4364656943302</v>
      </c>
      <c r="I72" s="4">
        <f t="shared" si="43"/>
        <v>470.82142546717296</v>
      </c>
      <c r="J72" s="4">
        <f t="shared" si="43"/>
        <v>415.51317006191232</v>
      </c>
      <c r="K72" s="4">
        <f t="shared" si="43"/>
        <v>370.70052173890326</v>
      </c>
      <c r="L72" s="4">
        <f t="shared" si="43"/>
        <v>333.77998078289369</v>
      </c>
      <c r="M72" s="4">
        <f t="shared" si="43"/>
        <v>302.92100055180219</v>
      </c>
      <c r="N72" s="4">
        <f t="shared" si="43"/>
        <v>276.804032693811</v>
      </c>
      <c r="O72" s="4">
        <f t="shared" si="43"/>
        <v>254.45698056673933</v>
      </c>
      <c r="P72" s="4">
        <f t="shared" si="43"/>
        <v>235.14988673951132</v>
      </c>
      <c r="Q72" s="4">
        <f t="shared" si="43"/>
        <v>0</v>
      </c>
      <c r="R72" s="4">
        <f t="shared" si="43"/>
        <v>0</v>
      </c>
      <c r="S72" s="4">
        <f t="shared" si="43"/>
        <v>0</v>
      </c>
      <c r="T72" s="4">
        <f t="shared" si="43"/>
        <v>0</v>
      </c>
      <c r="U72" s="4">
        <f t="shared" si="43"/>
        <v>0</v>
      </c>
      <c r="V72" s="4">
        <f t="shared" si="43"/>
        <v>0</v>
      </c>
      <c r="W72" s="4">
        <f t="shared" si="40"/>
        <v>0</v>
      </c>
      <c r="X72" s="4">
        <f t="shared" si="40"/>
        <v>0</v>
      </c>
      <c r="Y72" s="4">
        <f t="shared" si="40"/>
        <v>0</v>
      </c>
      <c r="Z72" s="4">
        <f t="shared" si="40"/>
        <v>0</v>
      </c>
      <c r="AA72" s="4">
        <f t="shared" si="40"/>
        <v>0</v>
      </c>
      <c r="AB72" s="4">
        <f t="shared" si="40"/>
        <v>0</v>
      </c>
      <c r="AC72" s="4">
        <f t="shared" si="40"/>
        <v>0</v>
      </c>
      <c r="AD72" s="4">
        <f t="shared" si="40"/>
        <v>0</v>
      </c>
      <c r="AE72" s="4">
        <f t="shared" si="40"/>
        <v>0</v>
      </c>
      <c r="AF72" s="4">
        <f t="shared" si="40"/>
        <v>0</v>
      </c>
      <c r="AG72" s="4">
        <f t="shared" si="40"/>
        <v>0</v>
      </c>
      <c r="AH72" s="4">
        <f t="shared" si="40"/>
        <v>0</v>
      </c>
      <c r="AI72" s="4">
        <f t="shared" si="40"/>
        <v>0</v>
      </c>
      <c r="AJ72" s="4">
        <f t="shared" si="40"/>
        <v>0</v>
      </c>
      <c r="AK72" s="4">
        <f t="shared" si="40"/>
        <v>0</v>
      </c>
      <c r="AL72" s="4">
        <f t="shared" si="44"/>
        <v>0</v>
      </c>
      <c r="AM72" s="4">
        <f t="shared" si="44"/>
        <v>0</v>
      </c>
      <c r="AN72" s="4">
        <f t="shared" si="44"/>
        <v>0</v>
      </c>
      <c r="AO72" s="4">
        <f t="shared" si="44"/>
        <v>0</v>
      </c>
      <c r="AP72" s="4">
        <f t="shared" si="44"/>
        <v>0</v>
      </c>
      <c r="AQ72" s="4">
        <f t="shared" si="44"/>
        <v>0</v>
      </c>
      <c r="AR72" s="4">
        <f t="shared" si="44"/>
        <v>0</v>
      </c>
      <c r="AS72" s="4">
        <f t="shared" si="44"/>
        <v>0</v>
      </c>
      <c r="AT72" s="4">
        <f t="shared" si="44"/>
        <v>0</v>
      </c>
      <c r="AU72" s="4">
        <f t="shared" si="44"/>
        <v>0</v>
      </c>
      <c r="AV72" s="4">
        <f t="shared" si="44"/>
        <v>0</v>
      </c>
      <c r="AW72" s="4">
        <f t="shared" si="44"/>
        <v>0</v>
      </c>
      <c r="AX72" s="4">
        <f t="shared" si="44"/>
        <v>0</v>
      </c>
      <c r="AY72" s="4">
        <f t="shared" si="45"/>
        <v>0</v>
      </c>
      <c r="AZ72" s="4">
        <f t="shared" si="45"/>
        <v>0</v>
      </c>
      <c r="BA72" s="4">
        <f t="shared" si="45"/>
        <v>0</v>
      </c>
      <c r="BB72" s="4">
        <f t="shared" si="45"/>
        <v>0</v>
      </c>
      <c r="BC72" s="4">
        <f t="shared" si="45"/>
        <v>0</v>
      </c>
      <c r="BD72" s="4">
        <f t="shared" si="45"/>
        <v>0</v>
      </c>
      <c r="BF72" s="2">
        <f t="shared" si="35"/>
        <v>4600</v>
      </c>
      <c r="BG72" s="1">
        <f t="shared" si="49"/>
        <v>0</v>
      </c>
      <c r="BH72" s="1">
        <f t="shared" si="46"/>
        <v>0</v>
      </c>
      <c r="BI72" s="1">
        <f t="shared" si="46"/>
        <v>0</v>
      </c>
      <c r="BJ72" s="1">
        <f t="shared" si="46"/>
        <v>0</v>
      </c>
      <c r="BK72" s="1">
        <f t="shared" si="46"/>
        <v>0</v>
      </c>
      <c r="BL72" s="1">
        <f t="shared" si="46"/>
        <v>0</v>
      </c>
      <c r="BM72" s="1">
        <f t="shared" si="46"/>
        <v>0</v>
      </c>
      <c r="BN72" s="1">
        <f t="shared" si="46"/>
        <v>0</v>
      </c>
      <c r="BO72" s="1">
        <f t="shared" si="46"/>
        <v>0</v>
      </c>
      <c r="BP72" s="1">
        <f t="shared" si="46"/>
        <v>0</v>
      </c>
      <c r="BQ72" s="1">
        <f t="shared" si="46"/>
        <v>0</v>
      </c>
      <c r="BR72" s="1">
        <f t="shared" si="46"/>
        <v>0</v>
      </c>
      <c r="BS72" s="1">
        <f t="shared" si="46"/>
        <v>0</v>
      </c>
      <c r="BT72" s="1">
        <f t="shared" si="46"/>
        <v>0</v>
      </c>
      <c r="BU72" s="1">
        <f t="shared" si="46"/>
        <v>0</v>
      </c>
      <c r="BV72" s="1">
        <f t="shared" si="46"/>
        <v>0</v>
      </c>
      <c r="BW72" s="1">
        <f t="shared" si="46"/>
        <v>0</v>
      </c>
      <c r="BX72" s="1">
        <f t="shared" si="41"/>
        <v>0</v>
      </c>
      <c r="BY72" s="1">
        <f t="shared" si="41"/>
        <v>0</v>
      </c>
      <c r="BZ72" s="1">
        <f t="shared" si="41"/>
        <v>0</v>
      </c>
      <c r="CA72" s="1">
        <f t="shared" si="41"/>
        <v>0</v>
      </c>
      <c r="CB72" s="1">
        <f t="shared" si="41"/>
        <v>0</v>
      </c>
      <c r="CC72" s="1">
        <f t="shared" si="41"/>
        <v>0</v>
      </c>
      <c r="CD72" s="1">
        <f t="shared" si="41"/>
        <v>0</v>
      </c>
      <c r="CE72" s="1">
        <f t="shared" si="41"/>
        <v>0</v>
      </c>
      <c r="CF72" s="1">
        <f t="shared" si="41"/>
        <v>0</v>
      </c>
      <c r="CG72" s="1">
        <f t="shared" si="41"/>
        <v>0</v>
      </c>
      <c r="CH72" s="1">
        <f t="shared" si="41"/>
        <v>0</v>
      </c>
      <c r="CI72" s="1">
        <f t="shared" si="41"/>
        <v>0</v>
      </c>
      <c r="CJ72" s="1">
        <f t="shared" si="41"/>
        <v>0</v>
      </c>
      <c r="CK72" s="1">
        <f t="shared" si="41"/>
        <v>0</v>
      </c>
      <c r="CL72" s="1">
        <f t="shared" si="41"/>
        <v>0</v>
      </c>
      <c r="CM72" s="1">
        <f t="shared" si="47"/>
        <v>0</v>
      </c>
      <c r="CN72" s="1">
        <f t="shared" si="47"/>
        <v>0</v>
      </c>
      <c r="CO72" s="1">
        <f t="shared" si="47"/>
        <v>0</v>
      </c>
      <c r="CP72" s="1">
        <f t="shared" si="47"/>
        <v>0</v>
      </c>
      <c r="CQ72" s="1">
        <f t="shared" si="47"/>
        <v>0</v>
      </c>
      <c r="CR72" s="1">
        <f t="shared" si="47"/>
        <v>0</v>
      </c>
      <c r="CS72" s="1">
        <f t="shared" si="47"/>
        <v>0</v>
      </c>
      <c r="CT72" s="1">
        <f t="shared" si="47"/>
        <v>0</v>
      </c>
      <c r="CU72" s="1">
        <f t="shared" si="47"/>
        <v>0</v>
      </c>
      <c r="CV72" s="1">
        <f t="shared" si="47"/>
        <v>0</v>
      </c>
      <c r="CW72" s="1">
        <f t="shared" si="47"/>
        <v>0</v>
      </c>
      <c r="CX72" s="1">
        <f t="shared" si="47"/>
        <v>0</v>
      </c>
      <c r="CY72" s="1">
        <f t="shared" si="47"/>
        <v>0</v>
      </c>
      <c r="CZ72" s="1">
        <f t="shared" si="47"/>
        <v>0</v>
      </c>
      <c r="DA72" s="1">
        <f t="shared" si="47"/>
        <v>0</v>
      </c>
      <c r="DB72" s="1">
        <f t="shared" si="47"/>
        <v>0</v>
      </c>
      <c r="DC72" s="1">
        <f t="shared" si="42"/>
        <v>0</v>
      </c>
      <c r="DD72" s="1">
        <f t="shared" si="42"/>
        <v>0</v>
      </c>
    </row>
    <row r="73" spans="1:108" x14ac:dyDescent="0.2">
      <c r="A73">
        <v>4800</v>
      </c>
      <c r="B73" s="1">
        <f t="shared" si="48"/>
        <v>0</v>
      </c>
      <c r="C73" s="3">
        <f t="shared" si="29"/>
        <v>0</v>
      </c>
      <c r="D73" s="5">
        <f t="shared" si="30"/>
        <v>32.82840707824387</v>
      </c>
      <c r="F73" s="1">
        <f t="shared" si="31"/>
        <v>0</v>
      </c>
      <c r="G73" s="4">
        <f t="shared" si="43"/>
        <v>655.19520880002312</v>
      </c>
      <c r="H73" s="4">
        <f t="shared" si="43"/>
        <v>561.74985115867264</v>
      </c>
      <c r="I73" s="4">
        <f t="shared" si="43"/>
        <v>489.22842568982117</v>
      </c>
      <c r="J73" s="4">
        <f t="shared" si="43"/>
        <v>431.61991990256024</v>
      </c>
      <c r="K73" s="4">
        <f t="shared" si="43"/>
        <v>384.95259241937237</v>
      </c>
      <c r="L73" s="4">
        <f t="shared" si="43"/>
        <v>346.51244468374529</v>
      </c>
      <c r="M73" s="4">
        <f t="shared" si="43"/>
        <v>314.39087143985819</v>
      </c>
      <c r="N73" s="4">
        <f t="shared" si="43"/>
        <v>287.21190438743446</v>
      </c>
      <c r="O73" s="4">
        <f t="shared" si="43"/>
        <v>263.96183426626095</v>
      </c>
      <c r="P73" s="4">
        <f t="shared" si="43"/>
        <v>243.87945598073588</v>
      </c>
      <c r="Q73" s="4">
        <f t="shared" si="43"/>
        <v>0</v>
      </c>
      <c r="R73" s="4">
        <f t="shared" si="43"/>
        <v>0</v>
      </c>
      <c r="S73" s="4">
        <f t="shared" si="43"/>
        <v>0</v>
      </c>
      <c r="T73" s="4">
        <f t="shared" si="43"/>
        <v>0</v>
      </c>
      <c r="U73" s="4">
        <f t="shared" si="43"/>
        <v>0</v>
      </c>
      <c r="V73" s="4">
        <f t="shared" ref="V73:AK80" si="50">IF(V$9=0, 0,MIN($D73/($D73+V$9)*$A73, 1000*10^(0.08*(LOG(($D73+V$9)/$D73)+0.2-0.02*$A73/1000)^4-0.592*(LOG(($D73+V$9)/$D73)+0.2-0.02*$A73/1000)^3+1.63*(LOG(($D73+V$9)/$D73)+0.2-0.02*$A73/1000)^2-3.28*(LOG(($D73+V$9)/$D73)+0.2-0.02*$A73/1000)+1.39)))</f>
        <v>0</v>
      </c>
      <c r="W73" s="4">
        <f t="shared" si="50"/>
        <v>0</v>
      </c>
      <c r="X73" s="4">
        <f t="shared" si="50"/>
        <v>0</v>
      </c>
      <c r="Y73" s="4">
        <f t="shared" si="50"/>
        <v>0</v>
      </c>
      <c r="Z73" s="4">
        <f t="shared" si="50"/>
        <v>0</v>
      </c>
      <c r="AA73" s="4">
        <f t="shared" si="50"/>
        <v>0</v>
      </c>
      <c r="AB73" s="4">
        <f t="shared" si="50"/>
        <v>0</v>
      </c>
      <c r="AC73" s="4">
        <f t="shared" si="50"/>
        <v>0</v>
      </c>
      <c r="AD73" s="4">
        <f t="shared" si="50"/>
        <v>0</v>
      </c>
      <c r="AE73" s="4">
        <f t="shared" si="50"/>
        <v>0</v>
      </c>
      <c r="AF73" s="4">
        <f t="shared" si="50"/>
        <v>0</v>
      </c>
      <c r="AG73" s="4">
        <f t="shared" si="50"/>
        <v>0</v>
      </c>
      <c r="AH73" s="4">
        <f t="shared" si="50"/>
        <v>0</v>
      </c>
      <c r="AI73" s="4">
        <f t="shared" si="50"/>
        <v>0</v>
      </c>
      <c r="AJ73" s="4">
        <f t="shared" si="50"/>
        <v>0</v>
      </c>
      <c r="AK73" s="4">
        <f t="shared" si="50"/>
        <v>0</v>
      </c>
      <c r="AL73" s="4">
        <f t="shared" si="44"/>
        <v>0</v>
      </c>
      <c r="AM73" s="4">
        <f t="shared" si="44"/>
        <v>0</v>
      </c>
      <c r="AN73" s="4">
        <f t="shared" si="44"/>
        <v>0</v>
      </c>
      <c r="AO73" s="4">
        <f t="shared" si="44"/>
        <v>0</v>
      </c>
      <c r="AP73" s="4">
        <f t="shared" si="44"/>
        <v>0</v>
      </c>
      <c r="AQ73" s="4">
        <f t="shared" si="44"/>
        <v>0</v>
      </c>
      <c r="AR73" s="4">
        <f t="shared" si="44"/>
        <v>0</v>
      </c>
      <c r="AS73" s="4">
        <f t="shared" si="44"/>
        <v>0</v>
      </c>
      <c r="AT73" s="4">
        <f t="shared" si="44"/>
        <v>0</v>
      </c>
      <c r="AU73" s="4">
        <f t="shared" si="44"/>
        <v>0</v>
      </c>
      <c r="AV73" s="4">
        <f t="shared" si="44"/>
        <v>0</v>
      </c>
      <c r="AW73" s="4">
        <f t="shared" si="44"/>
        <v>0</v>
      </c>
      <c r="AX73" s="4">
        <f t="shared" si="44"/>
        <v>0</v>
      </c>
      <c r="AY73" s="4">
        <f t="shared" si="45"/>
        <v>0</v>
      </c>
      <c r="AZ73" s="4">
        <f t="shared" si="45"/>
        <v>0</v>
      </c>
      <c r="BA73" s="4">
        <f t="shared" si="45"/>
        <v>0</v>
      </c>
      <c r="BB73" s="4">
        <f t="shared" si="45"/>
        <v>0</v>
      </c>
      <c r="BC73" s="4">
        <f t="shared" si="45"/>
        <v>0</v>
      </c>
      <c r="BD73" s="4">
        <f t="shared" si="45"/>
        <v>0</v>
      </c>
      <c r="BF73" s="2">
        <f t="shared" si="35"/>
        <v>4800</v>
      </c>
      <c r="BG73" s="1">
        <f t="shared" si="49"/>
        <v>0</v>
      </c>
      <c r="BH73" s="1">
        <f t="shared" si="46"/>
        <v>0</v>
      </c>
      <c r="BI73" s="1">
        <f t="shared" si="46"/>
        <v>0</v>
      </c>
      <c r="BJ73" s="1">
        <f t="shared" si="46"/>
        <v>0</v>
      </c>
      <c r="BK73" s="1">
        <f t="shared" si="46"/>
        <v>0</v>
      </c>
      <c r="BL73" s="1">
        <f t="shared" si="46"/>
        <v>0</v>
      </c>
      <c r="BM73" s="1">
        <f t="shared" si="46"/>
        <v>0</v>
      </c>
      <c r="BN73" s="1">
        <f t="shared" si="46"/>
        <v>0</v>
      </c>
      <c r="BO73" s="1">
        <f t="shared" si="46"/>
        <v>0</v>
      </c>
      <c r="BP73" s="1">
        <f t="shared" si="46"/>
        <v>0</v>
      </c>
      <c r="BQ73" s="1">
        <f t="shared" si="46"/>
        <v>0</v>
      </c>
      <c r="BR73" s="1">
        <f t="shared" si="46"/>
        <v>0</v>
      </c>
      <c r="BS73" s="1">
        <f t="shared" si="46"/>
        <v>0</v>
      </c>
      <c r="BT73" s="1">
        <f t="shared" si="46"/>
        <v>0</v>
      </c>
      <c r="BU73" s="1">
        <f t="shared" si="46"/>
        <v>0</v>
      </c>
      <c r="BV73" s="1">
        <f t="shared" si="46"/>
        <v>0</v>
      </c>
      <c r="BW73" s="1">
        <f t="shared" ref="BW73:CL80" si="51">LOOKUP($A73,W73:W143,$B73:$B143)</f>
        <v>0</v>
      </c>
      <c r="BX73" s="1">
        <f t="shared" si="51"/>
        <v>0</v>
      </c>
      <c r="BY73" s="1">
        <f t="shared" si="51"/>
        <v>0</v>
      </c>
      <c r="BZ73" s="1">
        <f t="shared" si="51"/>
        <v>0</v>
      </c>
      <c r="CA73" s="1">
        <f t="shared" si="51"/>
        <v>0</v>
      </c>
      <c r="CB73" s="1">
        <f t="shared" si="51"/>
        <v>0</v>
      </c>
      <c r="CC73" s="1">
        <f t="shared" si="51"/>
        <v>0</v>
      </c>
      <c r="CD73" s="1">
        <f t="shared" si="51"/>
        <v>0</v>
      </c>
      <c r="CE73" s="1">
        <f t="shared" si="51"/>
        <v>0</v>
      </c>
      <c r="CF73" s="1">
        <f t="shared" si="51"/>
        <v>0</v>
      </c>
      <c r="CG73" s="1">
        <f t="shared" si="51"/>
        <v>0</v>
      </c>
      <c r="CH73" s="1">
        <f t="shared" si="51"/>
        <v>0</v>
      </c>
      <c r="CI73" s="1">
        <f t="shared" si="51"/>
        <v>0</v>
      </c>
      <c r="CJ73" s="1">
        <f t="shared" si="51"/>
        <v>0</v>
      </c>
      <c r="CK73" s="1">
        <f t="shared" si="51"/>
        <v>0</v>
      </c>
      <c r="CL73" s="1">
        <f t="shared" si="51"/>
        <v>0</v>
      </c>
      <c r="CM73" s="1">
        <f t="shared" si="47"/>
        <v>0</v>
      </c>
      <c r="CN73" s="1">
        <f t="shared" si="47"/>
        <v>0</v>
      </c>
      <c r="CO73" s="1">
        <f t="shared" si="47"/>
        <v>0</v>
      </c>
      <c r="CP73" s="1">
        <f t="shared" si="47"/>
        <v>0</v>
      </c>
      <c r="CQ73" s="1">
        <f t="shared" si="47"/>
        <v>0</v>
      </c>
      <c r="CR73" s="1">
        <f t="shared" si="47"/>
        <v>0</v>
      </c>
      <c r="CS73" s="1">
        <f t="shared" si="47"/>
        <v>0</v>
      </c>
      <c r="CT73" s="1">
        <f t="shared" si="47"/>
        <v>0</v>
      </c>
      <c r="CU73" s="1">
        <f t="shared" si="47"/>
        <v>0</v>
      </c>
      <c r="CV73" s="1">
        <f t="shared" si="47"/>
        <v>0</v>
      </c>
      <c r="CW73" s="1">
        <f t="shared" si="47"/>
        <v>0</v>
      </c>
      <c r="CX73" s="1">
        <f t="shared" si="47"/>
        <v>0</v>
      </c>
      <c r="CY73" s="1">
        <f t="shared" si="47"/>
        <v>0</v>
      </c>
      <c r="CZ73" s="1">
        <f t="shared" si="47"/>
        <v>0</v>
      </c>
      <c r="DA73" s="1">
        <f t="shared" si="47"/>
        <v>0</v>
      </c>
      <c r="DB73" s="1">
        <f t="shared" ref="DB73:DD80" si="52">LOOKUP($A73,BB73:BB143,$B73:$B143)</f>
        <v>0</v>
      </c>
      <c r="DC73" s="1">
        <f t="shared" si="52"/>
        <v>0</v>
      </c>
      <c r="DD73" s="1">
        <f t="shared" si="52"/>
        <v>0</v>
      </c>
    </row>
    <row r="74" spans="1:108" x14ac:dyDescent="0.2">
      <c r="A74">
        <v>5000</v>
      </c>
      <c r="B74" s="1">
        <f t="shared" si="48"/>
        <v>0</v>
      </c>
      <c r="C74" s="3">
        <f t="shared" si="29"/>
        <v>0</v>
      </c>
      <c r="D74" s="5">
        <f t="shared" ref="D74:D80" si="53">$B$7* (A74/1000)^1.2^0.3333/($E$2/1000+1)^1.2^0.3333</f>
        <v>33.368801444273132</v>
      </c>
      <c r="F74" s="1">
        <f t="shared" ref="F74:F80" si="54">B74</f>
        <v>0</v>
      </c>
      <c r="G74" s="4">
        <f t="shared" ref="G74:V80" si="55">IF(G$9=0, 0,MIN($D74/($D74+G$9)*$A74, 1000*10^(0.08*(LOG(($D74+G$9)/$D74)+0.2-0.02*$A74/1000)^4-0.592*(LOG(($D74+G$9)/$D74)+0.2-0.02*$A74/1000)^3+1.63*(LOG(($D74+G$9)/$D74)+0.2-0.02*$A74/1000)^2-3.28*(LOG(($D74+G$9)/$D74)+0.2-0.02*$A74/1000)+1.39)))</f>
        <v>680.75098687922082</v>
      </c>
      <c r="H74" s="4">
        <f t="shared" si="55"/>
        <v>583.46638110872152</v>
      </c>
      <c r="I74" s="4">
        <f t="shared" si="55"/>
        <v>507.97275787960263</v>
      </c>
      <c r="J74" s="4">
        <f t="shared" si="55"/>
        <v>448.01276949495337</v>
      </c>
      <c r="K74" s="4">
        <f t="shared" si="55"/>
        <v>399.45016597211537</v>
      </c>
      <c r="L74" s="4">
        <f t="shared" si="55"/>
        <v>359.45773967637041</v>
      </c>
      <c r="M74" s="4">
        <f t="shared" si="55"/>
        <v>326.04691885936194</v>
      </c>
      <c r="N74" s="4">
        <f t="shared" si="55"/>
        <v>297.78394304135975</v>
      </c>
      <c r="O74" s="4">
        <f t="shared" si="55"/>
        <v>273.61248434884067</v>
      </c>
      <c r="P74" s="4">
        <f t="shared" si="55"/>
        <v>252.73933981913376</v>
      </c>
      <c r="Q74" s="4">
        <f t="shared" si="55"/>
        <v>0</v>
      </c>
      <c r="R74" s="4">
        <f t="shared" si="55"/>
        <v>0</v>
      </c>
      <c r="S74" s="4">
        <f t="shared" si="55"/>
        <v>0</v>
      </c>
      <c r="T74" s="4">
        <f t="shared" si="55"/>
        <v>0</v>
      </c>
      <c r="U74" s="4">
        <f t="shared" si="55"/>
        <v>0</v>
      </c>
      <c r="V74" s="4">
        <f t="shared" si="55"/>
        <v>0</v>
      </c>
      <c r="W74" s="4">
        <f t="shared" si="50"/>
        <v>0</v>
      </c>
      <c r="X74" s="4">
        <f t="shared" si="50"/>
        <v>0</v>
      </c>
      <c r="Y74" s="4">
        <f t="shared" si="50"/>
        <v>0</v>
      </c>
      <c r="Z74" s="4">
        <f t="shared" si="50"/>
        <v>0</v>
      </c>
      <c r="AA74" s="4">
        <f t="shared" si="50"/>
        <v>0</v>
      </c>
      <c r="AB74" s="4">
        <f t="shared" si="50"/>
        <v>0</v>
      </c>
      <c r="AC74" s="4">
        <f t="shared" si="50"/>
        <v>0</v>
      </c>
      <c r="AD74" s="4">
        <f t="shared" si="50"/>
        <v>0</v>
      </c>
      <c r="AE74" s="4">
        <f t="shared" si="50"/>
        <v>0</v>
      </c>
      <c r="AF74" s="4">
        <f t="shared" si="50"/>
        <v>0</v>
      </c>
      <c r="AG74" s="4">
        <f t="shared" si="50"/>
        <v>0</v>
      </c>
      <c r="AH74" s="4">
        <f t="shared" si="50"/>
        <v>0</v>
      </c>
      <c r="AI74" s="4">
        <f t="shared" si="50"/>
        <v>0</v>
      </c>
      <c r="AJ74" s="4">
        <f t="shared" si="50"/>
        <v>0</v>
      </c>
      <c r="AK74" s="4">
        <f t="shared" si="50"/>
        <v>0</v>
      </c>
      <c r="AL74" s="4">
        <f t="shared" ref="AL74:AX80" si="56">IF(AL$9=0, 0,MIN($D74/($D74+AL$9)*$A74, 1000*10^(0.08*(LOG(($D74+AL$9)/$D74)+0.2-0.02*$A74/1000)^4-0.592*(LOG(($D74+AL$9)/$D74)+0.2-0.02*$A74/1000)^3+1.63*(LOG(($D74+AL$9)/$D74)+0.2-0.02*$A74/1000)^2-3.28*(LOG(($D74+AL$9)/$D74)+0.2-0.02*$A74/1000)+1.39)))</f>
        <v>0</v>
      </c>
      <c r="AM74" s="4">
        <f t="shared" si="56"/>
        <v>0</v>
      </c>
      <c r="AN74" s="4">
        <f t="shared" si="56"/>
        <v>0</v>
      </c>
      <c r="AO74" s="4">
        <f t="shared" si="56"/>
        <v>0</v>
      </c>
      <c r="AP74" s="4">
        <f t="shared" si="56"/>
        <v>0</v>
      </c>
      <c r="AQ74" s="4">
        <f t="shared" si="56"/>
        <v>0</v>
      </c>
      <c r="AR74" s="4">
        <f t="shared" si="56"/>
        <v>0</v>
      </c>
      <c r="AS74" s="4">
        <f t="shared" si="56"/>
        <v>0</v>
      </c>
      <c r="AT74" s="4">
        <f t="shared" si="56"/>
        <v>0</v>
      </c>
      <c r="AU74" s="4">
        <f t="shared" si="56"/>
        <v>0</v>
      </c>
      <c r="AV74" s="4">
        <f t="shared" si="56"/>
        <v>0</v>
      </c>
      <c r="AW74" s="4">
        <f t="shared" si="56"/>
        <v>0</v>
      </c>
      <c r="AX74" s="4">
        <f t="shared" si="56"/>
        <v>0</v>
      </c>
      <c r="AY74" s="4">
        <f t="shared" ref="AY74:BD80" si="57">IF(AY$9=0, 0,MIN($D74/($D74+AY$9)*$A74, 1000*10^(0.08*(LOG(($D74+AY$9)/$D74)+0.2-0.02*$A74/1000)^4-0.592*(LOG(($D74+AY$9)/$D74)+0.2-0.02*$A74/1000)^3+1.63*(LOG(($D74+AY$9)/$D74)+0.2-0.02*$A74/1000)^2-3.28*(LOG(($D74+AY$9)/$D74)+0.2-0.02*$A74/1000)+1.39)))</f>
        <v>0</v>
      </c>
      <c r="AZ74" s="4">
        <f t="shared" si="57"/>
        <v>0</v>
      </c>
      <c r="BA74" s="4">
        <f t="shared" si="57"/>
        <v>0</v>
      </c>
      <c r="BB74" s="4">
        <f t="shared" si="57"/>
        <v>0</v>
      </c>
      <c r="BC74" s="4">
        <f t="shared" si="57"/>
        <v>0</v>
      </c>
      <c r="BD74" s="4">
        <f t="shared" si="57"/>
        <v>0</v>
      </c>
      <c r="BF74" s="2">
        <f t="shared" ref="BF74:BF80" si="58">A74</f>
        <v>5000</v>
      </c>
      <c r="BG74" s="1">
        <f t="shared" si="49"/>
        <v>0</v>
      </c>
      <c r="BH74" s="1">
        <f t="shared" ref="BH74:BW74" si="59">LOOKUP($A74,H74:H144,$B74:$B144)</f>
        <v>0</v>
      </c>
      <c r="BI74" s="1">
        <f t="shared" si="59"/>
        <v>0</v>
      </c>
      <c r="BJ74" s="1">
        <f t="shared" si="59"/>
        <v>0</v>
      </c>
      <c r="BK74" s="1">
        <f t="shared" si="59"/>
        <v>0</v>
      </c>
      <c r="BL74" s="1">
        <f t="shared" si="59"/>
        <v>0</v>
      </c>
      <c r="BM74" s="1">
        <f t="shared" si="59"/>
        <v>0</v>
      </c>
      <c r="BN74" s="1">
        <f t="shared" si="59"/>
        <v>0</v>
      </c>
      <c r="BO74" s="1">
        <f t="shared" si="59"/>
        <v>0</v>
      </c>
      <c r="BP74" s="1">
        <f t="shared" si="59"/>
        <v>0</v>
      </c>
      <c r="BQ74" s="1">
        <f t="shared" si="59"/>
        <v>0</v>
      </c>
      <c r="BR74" s="1">
        <f t="shared" si="59"/>
        <v>0</v>
      </c>
      <c r="BS74" s="1">
        <f t="shared" si="59"/>
        <v>0</v>
      </c>
      <c r="BT74" s="1">
        <f t="shared" si="59"/>
        <v>0</v>
      </c>
      <c r="BU74" s="1">
        <f t="shared" si="59"/>
        <v>0</v>
      </c>
      <c r="BV74" s="1">
        <f t="shared" si="59"/>
        <v>0</v>
      </c>
      <c r="BW74" s="1">
        <f t="shared" si="59"/>
        <v>0</v>
      </c>
      <c r="BX74" s="1">
        <f t="shared" si="51"/>
        <v>0</v>
      </c>
      <c r="BY74" s="1">
        <f t="shared" si="51"/>
        <v>0</v>
      </c>
      <c r="BZ74" s="1">
        <f t="shared" si="51"/>
        <v>0</v>
      </c>
      <c r="CA74" s="1">
        <f t="shared" si="51"/>
        <v>0</v>
      </c>
      <c r="CB74" s="1">
        <f t="shared" si="51"/>
        <v>0</v>
      </c>
      <c r="CC74" s="1">
        <f t="shared" si="51"/>
        <v>0</v>
      </c>
      <c r="CD74" s="1">
        <f t="shared" si="51"/>
        <v>0</v>
      </c>
      <c r="CE74" s="1">
        <f t="shared" si="51"/>
        <v>0</v>
      </c>
      <c r="CF74" s="1">
        <f t="shared" si="51"/>
        <v>0</v>
      </c>
      <c r="CG74" s="1">
        <f t="shared" si="51"/>
        <v>0</v>
      </c>
      <c r="CH74" s="1">
        <f t="shared" si="51"/>
        <v>0</v>
      </c>
      <c r="CI74" s="1">
        <f t="shared" si="51"/>
        <v>0</v>
      </c>
      <c r="CJ74" s="1">
        <f t="shared" si="51"/>
        <v>0</v>
      </c>
      <c r="CK74" s="1">
        <f t="shared" si="51"/>
        <v>0</v>
      </c>
      <c r="CL74" s="1">
        <f t="shared" si="51"/>
        <v>0</v>
      </c>
      <c r="CM74" s="1">
        <f t="shared" ref="CM74:DB80" si="60">LOOKUP($A74,AM74:AM144,$B74:$B144)</f>
        <v>0</v>
      </c>
      <c r="CN74" s="1">
        <f t="shared" si="60"/>
        <v>0</v>
      </c>
      <c r="CO74" s="1">
        <f t="shared" si="60"/>
        <v>0</v>
      </c>
      <c r="CP74" s="1">
        <f t="shared" si="60"/>
        <v>0</v>
      </c>
      <c r="CQ74" s="1">
        <f t="shared" si="60"/>
        <v>0</v>
      </c>
      <c r="CR74" s="1">
        <f t="shared" si="60"/>
        <v>0</v>
      </c>
      <c r="CS74" s="1">
        <f t="shared" si="60"/>
        <v>0</v>
      </c>
      <c r="CT74" s="1">
        <f t="shared" si="60"/>
        <v>0</v>
      </c>
      <c r="CU74" s="1">
        <f t="shared" si="60"/>
        <v>0</v>
      </c>
      <c r="CV74" s="1">
        <f t="shared" si="60"/>
        <v>0</v>
      </c>
      <c r="CW74" s="1">
        <f t="shared" si="60"/>
        <v>0</v>
      </c>
      <c r="CX74" s="1">
        <f t="shared" si="60"/>
        <v>0</v>
      </c>
      <c r="CY74" s="1">
        <f t="shared" si="60"/>
        <v>0</v>
      </c>
      <c r="CZ74" s="1">
        <f t="shared" si="60"/>
        <v>0</v>
      </c>
      <c r="DA74" s="1">
        <f t="shared" si="60"/>
        <v>0</v>
      </c>
      <c r="DB74" s="1">
        <f t="shared" si="60"/>
        <v>0</v>
      </c>
      <c r="DC74" s="1">
        <f t="shared" si="52"/>
        <v>0</v>
      </c>
      <c r="DD74" s="1">
        <f t="shared" si="52"/>
        <v>0</v>
      </c>
    </row>
    <row r="75" spans="1:108" x14ac:dyDescent="0.2">
      <c r="A75">
        <v>5500</v>
      </c>
      <c r="B75" s="1">
        <f t="shared" ref="B75:B80" si="61">IF(A75&lt;($E$2+0.001),EXP(($E$2-A75)/($E$2)*(LN($B$5)-LN($B$5*0.001))+LN($B$5*0.001)),0)</f>
        <v>0</v>
      </c>
      <c r="C75" s="3">
        <f t="shared" si="29"/>
        <v>0</v>
      </c>
      <c r="D75" s="5">
        <f t="shared" si="53"/>
        <v>34.665384855580186</v>
      </c>
      <c r="F75" s="1">
        <f t="shared" si="54"/>
        <v>0</v>
      </c>
      <c r="G75" s="4">
        <f t="shared" si="55"/>
        <v>746.96222862675415</v>
      </c>
      <c r="H75" s="4">
        <f t="shared" si="55"/>
        <v>639.671374964047</v>
      </c>
      <c r="I75" s="4">
        <f t="shared" si="55"/>
        <v>556.43615868227687</v>
      </c>
      <c r="J75" s="4">
        <f t="shared" si="55"/>
        <v>490.35535213902267</v>
      </c>
      <c r="K75" s="4">
        <f t="shared" si="55"/>
        <v>436.86272627268852</v>
      </c>
      <c r="L75" s="4">
        <f t="shared" si="55"/>
        <v>392.83521414286218</v>
      </c>
      <c r="M75" s="4">
        <f t="shared" si="55"/>
        <v>356.07530033372348</v>
      </c>
      <c r="N75" s="4">
        <f t="shared" si="55"/>
        <v>324.99825619678285</v>
      </c>
      <c r="O75" s="4">
        <f t="shared" si="55"/>
        <v>298.43645422215116</v>
      </c>
      <c r="P75" s="4">
        <f t="shared" si="55"/>
        <v>275.51315411808525</v>
      </c>
      <c r="Q75" s="4">
        <f t="shared" si="55"/>
        <v>0</v>
      </c>
      <c r="R75" s="4">
        <f t="shared" si="55"/>
        <v>0</v>
      </c>
      <c r="S75" s="4">
        <f t="shared" si="55"/>
        <v>0</v>
      </c>
      <c r="T75" s="4">
        <f t="shared" si="55"/>
        <v>0</v>
      </c>
      <c r="U75" s="4">
        <f t="shared" si="55"/>
        <v>0</v>
      </c>
      <c r="V75" s="4">
        <f t="shared" si="55"/>
        <v>0</v>
      </c>
      <c r="W75" s="4">
        <f t="shared" si="50"/>
        <v>0</v>
      </c>
      <c r="X75" s="4">
        <f t="shared" si="50"/>
        <v>0</v>
      </c>
      <c r="Y75" s="4">
        <f t="shared" si="50"/>
        <v>0</v>
      </c>
      <c r="Z75" s="4">
        <f t="shared" si="50"/>
        <v>0</v>
      </c>
      <c r="AA75" s="4">
        <f t="shared" si="50"/>
        <v>0</v>
      </c>
      <c r="AB75" s="4">
        <f t="shared" si="50"/>
        <v>0</v>
      </c>
      <c r="AC75" s="4">
        <f t="shared" si="50"/>
        <v>0</v>
      </c>
      <c r="AD75" s="4">
        <f t="shared" si="50"/>
        <v>0</v>
      </c>
      <c r="AE75" s="4">
        <f t="shared" si="50"/>
        <v>0</v>
      </c>
      <c r="AF75" s="4">
        <f t="shared" si="50"/>
        <v>0</v>
      </c>
      <c r="AG75" s="4">
        <f t="shared" si="50"/>
        <v>0</v>
      </c>
      <c r="AH75" s="4">
        <f t="shared" si="50"/>
        <v>0</v>
      </c>
      <c r="AI75" s="4">
        <f t="shared" si="50"/>
        <v>0</v>
      </c>
      <c r="AJ75" s="4">
        <f t="shared" si="50"/>
        <v>0</v>
      </c>
      <c r="AK75" s="4">
        <f t="shared" si="50"/>
        <v>0</v>
      </c>
      <c r="AL75" s="4">
        <f t="shared" si="56"/>
        <v>0</v>
      </c>
      <c r="AM75" s="4">
        <f t="shared" si="56"/>
        <v>0</v>
      </c>
      <c r="AN75" s="4">
        <f t="shared" si="56"/>
        <v>0</v>
      </c>
      <c r="AO75" s="4">
        <f t="shared" si="56"/>
        <v>0</v>
      </c>
      <c r="AP75" s="4">
        <f t="shared" si="56"/>
        <v>0</v>
      </c>
      <c r="AQ75" s="4">
        <f t="shared" si="56"/>
        <v>0</v>
      </c>
      <c r="AR75" s="4">
        <f t="shared" si="56"/>
        <v>0</v>
      </c>
      <c r="AS75" s="4">
        <f t="shared" si="56"/>
        <v>0</v>
      </c>
      <c r="AT75" s="4">
        <f t="shared" si="56"/>
        <v>0</v>
      </c>
      <c r="AU75" s="4">
        <f t="shared" si="56"/>
        <v>0</v>
      </c>
      <c r="AV75" s="4">
        <f t="shared" si="56"/>
        <v>0</v>
      </c>
      <c r="AW75" s="4">
        <f t="shared" si="56"/>
        <v>0</v>
      </c>
      <c r="AX75" s="4">
        <f t="shared" si="56"/>
        <v>0</v>
      </c>
      <c r="AY75" s="4">
        <f t="shared" si="57"/>
        <v>0</v>
      </c>
      <c r="AZ75" s="4">
        <f t="shared" si="57"/>
        <v>0</v>
      </c>
      <c r="BA75" s="4">
        <f t="shared" si="57"/>
        <v>0</v>
      </c>
      <c r="BB75" s="4">
        <f t="shared" si="57"/>
        <v>0</v>
      </c>
      <c r="BC75" s="4">
        <f t="shared" si="57"/>
        <v>0</v>
      </c>
      <c r="BD75" s="4">
        <f t="shared" si="57"/>
        <v>0</v>
      </c>
      <c r="BF75" s="2">
        <f t="shared" si="58"/>
        <v>5500</v>
      </c>
      <c r="BG75" s="1">
        <f t="shared" ref="BG75:BV80" si="62">LOOKUP($A75,G75:G145,$B75:$B145)</f>
        <v>0</v>
      </c>
      <c r="BH75" s="1">
        <f t="shared" si="62"/>
        <v>0</v>
      </c>
      <c r="BI75" s="1">
        <f t="shared" si="62"/>
        <v>0</v>
      </c>
      <c r="BJ75" s="1">
        <f t="shared" si="62"/>
        <v>0</v>
      </c>
      <c r="BK75" s="1">
        <f t="shared" si="62"/>
        <v>0</v>
      </c>
      <c r="BL75" s="1">
        <f t="shared" si="62"/>
        <v>0</v>
      </c>
      <c r="BM75" s="1">
        <f t="shared" si="62"/>
        <v>0</v>
      </c>
      <c r="BN75" s="1">
        <f t="shared" si="62"/>
        <v>0</v>
      </c>
      <c r="BO75" s="1">
        <f t="shared" si="62"/>
        <v>0</v>
      </c>
      <c r="BP75" s="1">
        <f t="shared" si="62"/>
        <v>0</v>
      </c>
      <c r="BQ75" s="1">
        <f t="shared" si="62"/>
        <v>0</v>
      </c>
      <c r="BR75" s="1">
        <f t="shared" si="62"/>
        <v>0</v>
      </c>
      <c r="BS75" s="1">
        <f t="shared" si="62"/>
        <v>0</v>
      </c>
      <c r="BT75" s="1">
        <f t="shared" si="62"/>
        <v>0</v>
      </c>
      <c r="BU75" s="1">
        <f t="shared" si="62"/>
        <v>0</v>
      </c>
      <c r="BV75" s="1">
        <f t="shared" si="62"/>
        <v>0</v>
      </c>
      <c r="BW75" s="1">
        <f t="shared" ref="BW75:BW80" si="63">LOOKUP($A75,W75:W145,$B75:$B145)</f>
        <v>0</v>
      </c>
      <c r="BX75" s="1">
        <f t="shared" si="51"/>
        <v>0</v>
      </c>
      <c r="BY75" s="1">
        <f t="shared" si="51"/>
        <v>0</v>
      </c>
      <c r="BZ75" s="1">
        <f t="shared" si="51"/>
        <v>0</v>
      </c>
      <c r="CA75" s="1">
        <f t="shared" si="51"/>
        <v>0</v>
      </c>
      <c r="CB75" s="1">
        <f t="shared" si="51"/>
        <v>0</v>
      </c>
      <c r="CC75" s="1">
        <f t="shared" si="51"/>
        <v>0</v>
      </c>
      <c r="CD75" s="1">
        <f t="shared" si="51"/>
        <v>0</v>
      </c>
      <c r="CE75" s="1">
        <f t="shared" si="51"/>
        <v>0</v>
      </c>
      <c r="CF75" s="1">
        <f t="shared" si="51"/>
        <v>0</v>
      </c>
      <c r="CG75" s="1">
        <f t="shared" si="51"/>
        <v>0</v>
      </c>
      <c r="CH75" s="1">
        <f t="shared" si="51"/>
        <v>0</v>
      </c>
      <c r="CI75" s="1">
        <f t="shared" si="51"/>
        <v>0</v>
      </c>
      <c r="CJ75" s="1">
        <f t="shared" si="51"/>
        <v>0</v>
      </c>
      <c r="CK75" s="1">
        <f t="shared" si="51"/>
        <v>0</v>
      </c>
      <c r="CL75" s="1">
        <f t="shared" si="51"/>
        <v>0</v>
      </c>
      <c r="CM75" s="1">
        <f t="shared" si="60"/>
        <v>0</v>
      </c>
      <c r="CN75" s="1">
        <f t="shared" si="60"/>
        <v>0</v>
      </c>
      <c r="CO75" s="1">
        <f t="shared" si="60"/>
        <v>0</v>
      </c>
      <c r="CP75" s="1">
        <f t="shared" si="60"/>
        <v>0</v>
      </c>
      <c r="CQ75" s="1">
        <f t="shared" si="60"/>
        <v>0</v>
      </c>
      <c r="CR75" s="1">
        <f t="shared" si="60"/>
        <v>0</v>
      </c>
      <c r="CS75" s="1">
        <f t="shared" si="60"/>
        <v>0</v>
      </c>
      <c r="CT75" s="1">
        <f t="shared" si="60"/>
        <v>0</v>
      </c>
      <c r="CU75" s="1">
        <f t="shared" si="60"/>
        <v>0</v>
      </c>
      <c r="CV75" s="1">
        <f t="shared" si="60"/>
        <v>0</v>
      </c>
      <c r="CW75" s="1">
        <f t="shared" si="60"/>
        <v>0</v>
      </c>
      <c r="CX75" s="1">
        <f t="shared" si="60"/>
        <v>0</v>
      </c>
      <c r="CY75" s="1">
        <f t="shared" si="60"/>
        <v>0</v>
      </c>
      <c r="CZ75" s="1">
        <f t="shared" si="60"/>
        <v>0</v>
      </c>
      <c r="DA75" s="1">
        <f t="shared" si="60"/>
        <v>0</v>
      </c>
      <c r="DB75" s="1">
        <f t="shared" si="60"/>
        <v>0</v>
      </c>
      <c r="DC75" s="1">
        <f t="shared" si="52"/>
        <v>0</v>
      </c>
      <c r="DD75" s="1">
        <f t="shared" si="52"/>
        <v>0</v>
      </c>
    </row>
    <row r="76" spans="1:108" x14ac:dyDescent="0.2">
      <c r="A76">
        <v>6000</v>
      </c>
      <c r="B76" s="1">
        <f t="shared" si="61"/>
        <v>0</v>
      </c>
      <c r="C76" s="3">
        <f t="shared" si="29"/>
        <v>0</v>
      </c>
      <c r="D76" s="5">
        <f t="shared" si="53"/>
        <v>35.893014874100871</v>
      </c>
      <c r="F76" s="1">
        <f t="shared" si="54"/>
        <v>0</v>
      </c>
      <c r="G76" s="4">
        <f t="shared" si="55"/>
        <v>816.83053242056599</v>
      </c>
      <c r="H76" s="4">
        <f t="shared" si="55"/>
        <v>698.89182844906452</v>
      </c>
      <c r="I76" s="4">
        <f t="shared" si="55"/>
        <v>607.4262788015933</v>
      </c>
      <c r="J76" s="4">
        <f t="shared" si="55"/>
        <v>534.84446467265695</v>
      </c>
      <c r="K76" s="4">
        <f t="shared" si="55"/>
        <v>476.12066416858244</v>
      </c>
      <c r="L76" s="4">
        <f t="shared" si="55"/>
        <v>427.81572644061453</v>
      </c>
      <c r="M76" s="4">
        <f t="shared" si="55"/>
        <v>387.50898503122204</v>
      </c>
      <c r="N76" s="4">
        <f t="shared" si="55"/>
        <v>353.45454218765764</v>
      </c>
      <c r="O76" s="4">
        <f t="shared" si="55"/>
        <v>324.36600304123436</v>
      </c>
      <c r="P76" s="4">
        <f t="shared" si="55"/>
        <v>299.27752763501559</v>
      </c>
      <c r="Q76" s="4">
        <f t="shared" si="55"/>
        <v>0</v>
      </c>
      <c r="R76" s="4">
        <f t="shared" si="55"/>
        <v>0</v>
      </c>
      <c r="S76" s="4">
        <f t="shared" si="55"/>
        <v>0</v>
      </c>
      <c r="T76" s="4">
        <f t="shared" si="55"/>
        <v>0</v>
      </c>
      <c r="U76" s="4">
        <f t="shared" si="55"/>
        <v>0</v>
      </c>
      <c r="V76" s="4">
        <f t="shared" si="55"/>
        <v>0</v>
      </c>
      <c r="W76" s="4">
        <f t="shared" si="50"/>
        <v>0</v>
      </c>
      <c r="X76" s="4">
        <f t="shared" si="50"/>
        <v>0</v>
      </c>
      <c r="Y76" s="4">
        <f t="shared" si="50"/>
        <v>0</v>
      </c>
      <c r="Z76" s="4">
        <f t="shared" si="50"/>
        <v>0</v>
      </c>
      <c r="AA76" s="4">
        <f t="shared" si="50"/>
        <v>0</v>
      </c>
      <c r="AB76" s="4">
        <f t="shared" si="50"/>
        <v>0</v>
      </c>
      <c r="AC76" s="4">
        <f t="shared" si="50"/>
        <v>0</v>
      </c>
      <c r="AD76" s="4">
        <f t="shared" si="50"/>
        <v>0</v>
      </c>
      <c r="AE76" s="4">
        <f t="shared" si="50"/>
        <v>0</v>
      </c>
      <c r="AF76" s="4">
        <f t="shared" si="50"/>
        <v>0</v>
      </c>
      <c r="AG76" s="4">
        <f t="shared" si="50"/>
        <v>0</v>
      </c>
      <c r="AH76" s="4">
        <f t="shared" si="50"/>
        <v>0</v>
      </c>
      <c r="AI76" s="4">
        <f t="shared" si="50"/>
        <v>0</v>
      </c>
      <c r="AJ76" s="4">
        <f t="shared" si="50"/>
        <v>0</v>
      </c>
      <c r="AK76" s="4">
        <f t="shared" si="50"/>
        <v>0</v>
      </c>
      <c r="AL76" s="4">
        <f t="shared" si="56"/>
        <v>0</v>
      </c>
      <c r="AM76" s="4">
        <f t="shared" si="56"/>
        <v>0</v>
      </c>
      <c r="AN76" s="4">
        <f t="shared" si="56"/>
        <v>0</v>
      </c>
      <c r="AO76" s="4">
        <f t="shared" si="56"/>
        <v>0</v>
      </c>
      <c r="AP76" s="4">
        <f t="shared" si="56"/>
        <v>0</v>
      </c>
      <c r="AQ76" s="4">
        <f t="shared" si="56"/>
        <v>0</v>
      </c>
      <c r="AR76" s="4">
        <f t="shared" si="56"/>
        <v>0</v>
      </c>
      <c r="AS76" s="4">
        <f t="shared" si="56"/>
        <v>0</v>
      </c>
      <c r="AT76" s="4">
        <f t="shared" si="56"/>
        <v>0</v>
      </c>
      <c r="AU76" s="4">
        <f t="shared" si="56"/>
        <v>0</v>
      </c>
      <c r="AV76" s="4">
        <f t="shared" si="56"/>
        <v>0</v>
      </c>
      <c r="AW76" s="4">
        <f t="shared" si="56"/>
        <v>0</v>
      </c>
      <c r="AX76" s="4">
        <f t="shared" si="56"/>
        <v>0</v>
      </c>
      <c r="AY76" s="4">
        <f t="shared" si="57"/>
        <v>0</v>
      </c>
      <c r="AZ76" s="4">
        <f t="shared" si="57"/>
        <v>0</v>
      </c>
      <c r="BA76" s="4">
        <f t="shared" si="57"/>
        <v>0</v>
      </c>
      <c r="BB76" s="4">
        <f t="shared" si="57"/>
        <v>0</v>
      </c>
      <c r="BC76" s="4">
        <f t="shared" si="57"/>
        <v>0</v>
      </c>
      <c r="BD76" s="4">
        <f t="shared" si="57"/>
        <v>0</v>
      </c>
      <c r="BF76" s="2">
        <f t="shared" si="58"/>
        <v>6000</v>
      </c>
      <c r="BG76" s="1">
        <f t="shared" si="62"/>
        <v>0</v>
      </c>
      <c r="BH76" s="1">
        <f t="shared" si="62"/>
        <v>0</v>
      </c>
      <c r="BI76" s="1">
        <f t="shared" si="62"/>
        <v>0</v>
      </c>
      <c r="BJ76" s="1">
        <f t="shared" si="62"/>
        <v>0</v>
      </c>
      <c r="BK76" s="1">
        <f t="shared" si="62"/>
        <v>0</v>
      </c>
      <c r="BL76" s="1">
        <f t="shared" si="62"/>
        <v>0</v>
      </c>
      <c r="BM76" s="1">
        <f t="shared" si="62"/>
        <v>0</v>
      </c>
      <c r="BN76" s="1">
        <f t="shared" si="62"/>
        <v>0</v>
      </c>
      <c r="BO76" s="1">
        <f t="shared" si="62"/>
        <v>0</v>
      </c>
      <c r="BP76" s="1">
        <f t="shared" si="62"/>
        <v>0</v>
      </c>
      <c r="BQ76" s="1">
        <f t="shared" si="62"/>
        <v>0</v>
      </c>
      <c r="BR76" s="1">
        <f t="shared" si="62"/>
        <v>0</v>
      </c>
      <c r="BS76" s="1">
        <f t="shared" si="62"/>
        <v>0</v>
      </c>
      <c r="BT76" s="1">
        <f t="shared" si="62"/>
        <v>0</v>
      </c>
      <c r="BU76" s="1">
        <f t="shared" si="62"/>
        <v>0</v>
      </c>
      <c r="BV76" s="1">
        <f t="shared" si="62"/>
        <v>0</v>
      </c>
      <c r="BW76" s="1">
        <f t="shared" si="63"/>
        <v>0</v>
      </c>
      <c r="BX76" s="1">
        <f t="shared" si="51"/>
        <v>0</v>
      </c>
      <c r="BY76" s="1">
        <f t="shared" si="51"/>
        <v>0</v>
      </c>
      <c r="BZ76" s="1">
        <f t="shared" si="51"/>
        <v>0</v>
      </c>
      <c r="CA76" s="1">
        <f t="shared" si="51"/>
        <v>0</v>
      </c>
      <c r="CB76" s="1">
        <f t="shared" si="51"/>
        <v>0</v>
      </c>
      <c r="CC76" s="1">
        <f t="shared" si="51"/>
        <v>0</v>
      </c>
      <c r="CD76" s="1">
        <f t="shared" si="51"/>
        <v>0</v>
      </c>
      <c r="CE76" s="1">
        <f t="shared" si="51"/>
        <v>0</v>
      </c>
      <c r="CF76" s="1">
        <f t="shared" si="51"/>
        <v>0</v>
      </c>
      <c r="CG76" s="1">
        <f t="shared" si="51"/>
        <v>0</v>
      </c>
      <c r="CH76" s="1">
        <f t="shared" si="51"/>
        <v>0</v>
      </c>
      <c r="CI76" s="1">
        <f t="shared" si="51"/>
        <v>0</v>
      </c>
      <c r="CJ76" s="1">
        <f t="shared" si="51"/>
        <v>0</v>
      </c>
      <c r="CK76" s="1">
        <f t="shared" si="51"/>
        <v>0</v>
      </c>
      <c r="CL76" s="1">
        <f t="shared" si="51"/>
        <v>0</v>
      </c>
      <c r="CM76" s="1">
        <f t="shared" si="60"/>
        <v>0</v>
      </c>
      <c r="CN76" s="1">
        <f t="shared" si="60"/>
        <v>0</v>
      </c>
      <c r="CO76" s="1">
        <f t="shared" si="60"/>
        <v>0</v>
      </c>
      <c r="CP76" s="1">
        <f t="shared" si="60"/>
        <v>0</v>
      </c>
      <c r="CQ76" s="1">
        <f t="shared" si="60"/>
        <v>0</v>
      </c>
      <c r="CR76" s="1">
        <f t="shared" si="60"/>
        <v>0</v>
      </c>
      <c r="CS76" s="1">
        <f t="shared" si="60"/>
        <v>0</v>
      </c>
      <c r="CT76" s="1">
        <f t="shared" si="60"/>
        <v>0</v>
      </c>
      <c r="CU76" s="1">
        <f t="shared" si="60"/>
        <v>0</v>
      </c>
      <c r="CV76" s="1">
        <f t="shared" si="60"/>
        <v>0</v>
      </c>
      <c r="CW76" s="1">
        <f t="shared" si="60"/>
        <v>0</v>
      </c>
      <c r="CX76" s="1">
        <f t="shared" si="60"/>
        <v>0</v>
      </c>
      <c r="CY76" s="1">
        <f t="shared" si="60"/>
        <v>0</v>
      </c>
      <c r="CZ76" s="1">
        <f t="shared" si="60"/>
        <v>0</v>
      </c>
      <c r="DA76" s="1">
        <f t="shared" si="60"/>
        <v>0</v>
      </c>
      <c r="DB76" s="1">
        <f t="shared" si="60"/>
        <v>0</v>
      </c>
      <c r="DC76" s="1">
        <f t="shared" si="52"/>
        <v>0</v>
      </c>
      <c r="DD76" s="1">
        <f t="shared" si="52"/>
        <v>0</v>
      </c>
    </row>
    <row r="77" spans="1:108" x14ac:dyDescent="0.2">
      <c r="A77">
        <v>6500</v>
      </c>
      <c r="B77" s="1">
        <f t="shared" si="61"/>
        <v>0</v>
      </c>
      <c r="C77" s="3">
        <f t="shared" si="29"/>
        <v>0</v>
      </c>
      <c r="D77" s="5">
        <f t="shared" si="53"/>
        <v>37.060680624806153</v>
      </c>
      <c r="F77" s="1">
        <f t="shared" si="54"/>
        <v>0</v>
      </c>
      <c r="G77" s="4">
        <f t="shared" si="55"/>
        <v>890.78330861224811</v>
      </c>
      <c r="H77" s="4">
        <f t="shared" si="55"/>
        <v>761.48030290847839</v>
      </c>
      <c r="I77" s="4">
        <f t="shared" si="55"/>
        <v>661.23913226148636</v>
      </c>
      <c r="J77" s="4">
        <f t="shared" si="55"/>
        <v>581.73241218066062</v>
      </c>
      <c r="K77" s="4">
        <f t="shared" si="55"/>
        <v>517.44182768073904</v>
      </c>
      <c r="L77" s="4">
        <f t="shared" si="55"/>
        <v>464.58949229697919</v>
      </c>
      <c r="M77" s="4">
        <f t="shared" si="55"/>
        <v>420.51569458714005</v>
      </c>
      <c r="N77" s="4">
        <f t="shared" si="55"/>
        <v>383.30196720800927</v>
      </c>
      <c r="O77" s="4">
        <f t="shared" si="55"/>
        <v>351.53480930609982</v>
      </c>
      <c r="P77" s="4">
        <f t="shared" si="55"/>
        <v>324.15307492630734</v>
      </c>
      <c r="Q77" s="4">
        <f t="shared" si="55"/>
        <v>0</v>
      </c>
      <c r="R77" s="4">
        <f t="shared" si="55"/>
        <v>0</v>
      </c>
      <c r="S77" s="4">
        <f t="shared" si="55"/>
        <v>0</v>
      </c>
      <c r="T77" s="4">
        <f t="shared" si="55"/>
        <v>0</v>
      </c>
      <c r="U77" s="4">
        <f t="shared" si="55"/>
        <v>0</v>
      </c>
      <c r="V77" s="4">
        <f t="shared" si="55"/>
        <v>0</v>
      </c>
      <c r="W77" s="4">
        <f t="shared" si="50"/>
        <v>0</v>
      </c>
      <c r="X77" s="4">
        <f t="shared" si="50"/>
        <v>0</v>
      </c>
      <c r="Y77" s="4">
        <f t="shared" si="50"/>
        <v>0</v>
      </c>
      <c r="Z77" s="4">
        <f t="shared" si="50"/>
        <v>0</v>
      </c>
      <c r="AA77" s="4">
        <f t="shared" si="50"/>
        <v>0</v>
      </c>
      <c r="AB77" s="4">
        <f t="shared" si="50"/>
        <v>0</v>
      </c>
      <c r="AC77" s="4">
        <f t="shared" si="50"/>
        <v>0</v>
      </c>
      <c r="AD77" s="4">
        <f t="shared" si="50"/>
        <v>0</v>
      </c>
      <c r="AE77" s="4">
        <f t="shared" si="50"/>
        <v>0</v>
      </c>
      <c r="AF77" s="4">
        <f t="shared" si="50"/>
        <v>0</v>
      </c>
      <c r="AG77" s="4">
        <f t="shared" si="50"/>
        <v>0</v>
      </c>
      <c r="AH77" s="4">
        <f t="shared" si="50"/>
        <v>0</v>
      </c>
      <c r="AI77" s="4">
        <f t="shared" si="50"/>
        <v>0</v>
      </c>
      <c r="AJ77" s="4">
        <f t="shared" si="50"/>
        <v>0</v>
      </c>
      <c r="AK77" s="4">
        <f t="shared" si="50"/>
        <v>0</v>
      </c>
      <c r="AL77" s="4">
        <f t="shared" si="56"/>
        <v>0</v>
      </c>
      <c r="AM77" s="4">
        <f t="shared" si="56"/>
        <v>0</v>
      </c>
      <c r="AN77" s="4">
        <f t="shared" si="56"/>
        <v>0</v>
      </c>
      <c r="AO77" s="4">
        <f t="shared" si="56"/>
        <v>0</v>
      </c>
      <c r="AP77" s="4">
        <f t="shared" si="56"/>
        <v>0</v>
      </c>
      <c r="AQ77" s="4">
        <f t="shared" si="56"/>
        <v>0</v>
      </c>
      <c r="AR77" s="4">
        <f t="shared" si="56"/>
        <v>0</v>
      </c>
      <c r="AS77" s="4">
        <f t="shared" si="56"/>
        <v>0</v>
      </c>
      <c r="AT77" s="4">
        <f t="shared" si="56"/>
        <v>0</v>
      </c>
      <c r="AU77" s="4">
        <f t="shared" si="56"/>
        <v>0</v>
      </c>
      <c r="AV77" s="4">
        <f t="shared" si="56"/>
        <v>0</v>
      </c>
      <c r="AW77" s="4">
        <f t="shared" si="56"/>
        <v>0</v>
      </c>
      <c r="AX77" s="4">
        <f t="shared" si="56"/>
        <v>0</v>
      </c>
      <c r="AY77" s="4">
        <f t="shared" si="57"/>
        <v>0</v>
      </c>
      <c r="AZ77" s="4">
        <f t="shared" si="57"/>
        <v>0</v>
      </c>
      <c r="BA77" s="4">
        <f t="shared" si="57"/>
        <v>0</v>
      </c>
      <c r="BB77" s="4">
        <f t="shared" si="57"/>
        <v>0</v>
      </c>
      <c r="BC77" s="4">
        <f t="shared" si="57"/>
        <v>0</v>
      </c>
      <c r="BD77" s="4">
        <f t="shared" si="57"/>
        <v>0</v>
      </c>
      <c r="BF77" s="2">
        <f t="shared" si="58"/>
        <v>6500</v>
      </c>
      <c r="BG77" s="1">
        <f t="shared" si="62"/>
        <v>0</v>
      </c>
      <c r="BH77" s="1">
        <f t="shared" si="62"/>
        <v>0</v>
      </c>
      <c r="BI77" s="1">
        <f t="shared" si="62"/>
        <v>0</v>
      </c>
      <c r="BJ77" s="1">
        <f t="shared" si="62"/>
        <v>0</v>
      </c>
      <c r="BK77" s="1">
        <f t="shared" si="62"/>
        <v>0</v>
      </c>
      <c r="BL77" s="1">
        <f t="shared" si="62"/>
        <v>0</v>
      </c>
      <c r="BM77" s="1">
        <f t="shared" si="62"/>
        <v>0</v>
      </c>
      <c r="BN77" s="1">
        <f t="shared" si="62"/>
        <v>0</v>
      </c>
      <c r="BO77" s="1">
        <f t="shared" si="62"/>
        <v>0</v>
      </c>
      <c r="BP77" s="1">
        <f t="shared" si="62"/>
        <v>0</v>
      </c>
      <c r="BQ77" s="1">
        <f t="shared" si="62"/>
        <v>0</v>
      </c>
      <c r="BR77" s="1">
        <f t="shared" si="62"/>
        <v>0</v>
      </c>
      <c r="BS77" s="1">
        <f t="shared" si="62"/>
        <v>0</v>
      </c>
      <c r="BT77" s="1">
        <f t="shared" si="62"/>
        <v>0</v>
      </c>
      <c r="BU77" s="1">
        <f t="shared" si="62"/>
        <v>0</v>
      </c>
      <c r="BV77" s="1">
        <f t="shared" si="62"/>
        <v>0</v>
      </c>
      <c r="BW77" s="1">
        <f t="shared" si="63"/>
        <v>0</v>
      </c>
      <c r="BX77" s="1">
        <f t="shared" si="51"/>
        <v>0</v>
      </c>
      <c r="BY77" s="1">
        <f t="shared" si="51"/>
        <v>0</v>
      </c>
      <c r="BZ77" s="1">
        <f t="shared" si="51"/>
        <v>0</v>
      </c>
      <c r="CA77" s="1">
        <f t="shared" si="51"/>
        <v>0</v>
      </c>
      <c r="CB77" s="1">
        <f t="shared" si="51"/>
        <v>0</v>
      </c>
      <c r="CC77" s="1">
        <f t="shared" si="51"/>
        <v>0</v>
      </c>
      <c r="CD77" s="1">
        <f t="shared" si="51"/>
        <v>0</v>
      </c>
      <c r="CE77" s="1">
        <f t="shared" si="51"/>
        <v>0</v>
      </c>
      <c r="CF77" s="1">
        <f t="shared" si="51"/>
        <v>0</v>
      </c>
      <c r="CG77" s="1">
        <f t="shared" si="51"/>
        <v>0</v>
      </c>
      <c r="CH77" s="1">
        <f t="shared" si="51"/>
        <v>0</v>
      </c>
      <c r="CI77" s="1">
        <f t="shared" si="51"/>
        <v>0</v>
      </c>
      <c r="CJ77" s="1">
        <f t="shared" si="51"/>
        <v>0</v>
      </c>
      <c r="CK77" s="1">
        <f t="shared" si="51"/>
        <v>0</v>
      </c>
      <c r="CL77" s="1">
        <f t="shared" si="51"/>
        <v>0</v>
      </c>
      <c r="CM77" s="1">
        <f t="shared" si="60"/>
        <v>0</v>
      </c>
      <c r="CN77" s="1">
        <f t="shared" si="60"/>
        <v>0</v>
      </c>
      <c r="CO77" s="1">
        <f t="shared" si="60"/>
        <v>0</v>
      </c>
      <c r="CP77" s="1">
        <f t="shared" si="60"/>
        <v>0</v>
      </c>
      <c r="CQ77" s="1">
        <f t="shared" si="60"/>
        <v>0</v>
      </c>
      <c r="CR77" s="1">
        <f t="shared" si="60"/>
        <v>0</v>
      </c>
      <c r="CS77" s="1">
        <f t="shared" si="60"/>
        <v>0</v>
      </c>
      <c r="CT77" s="1">
        <f t="shared" si="60"/>
        <v>0</v>
      </c>
      <c r="CU77" s="1">
        <f t="shared" si="60"/>
        <v>0</v>
      </c>
      <c r="CV77" s="1">
        <f t="shared" si="60"/>
        <v>0</v>
      </c>
      <c r="CW77" s="1">
        <f t="shared" si="60"/>
        <v>0</v>
      </c>
      <c r="CX77" s="1">
        <f t="shared" si="60"/>
        <v>0</v>
      </c>
      <c r="CY77" s="1">
        <f t="shared" si="60"/>
        <v>0</v>
      </c>
      <c r="CZ77" s="1">
        <f t="shared" si="60"/>
        <v>0</v>
      </c>
      <c r="DA77" s="1">
        <f t="shared" si="60"/>
        <v>0</v>
      </c>
      <c r="DB77" s="1">
        <f t="shared" si="60"/>
        <v>0</v>
      </c>
      <c r="DC77" s="1">
        <f t="shared" si="52"/>
        <v>0</v>
      </c>
      <c r="DD77" s="1">
        <f t="shared" si="52"/>
        <v>0</v>
      </c>
    </row>
    <row r="78" spans="1:108" x14ac:dyDescent="0.2">
      <c r="A78">
        <v>7000</v>
      </c>
      <c r="B78" s="1">
        <f t="shared" si="61"/>
        <v>0</v>
      </c>
      <c r="C78" s="3">
        <f t="shared" si="29"/>
        <v>0</v>
      </c>
      <c r="D78" s="5">
        <f t="shared" si="53"/>
        <v>38.175609262959917</v>
      </c>
      <c r="F78" s="1">
        <f t="shared" si="54"/>
        <v>0</v>
      </c>
      <c r="G78" s="4">
        <f t="shared" si="55"/>
        <v>969.25869874752061</v>
      </c>
      <c r="H78" s="4">
        <f t="shared" si="55"/>
        <v>827.79685653938338</v>
      </c>
      <c r="I78" s="4">
        <f t="shared" si="55"/>
        <v>718.17589037751168</v>
      </c>
      <c r="J78" s="4">
        <f t="shared" si="55"/>
        <v>631.27493842617537</v>
      </c>
      <c r="K78" s="4">
        <f t="shared" si="55"/>
        <v>561.04622440978892</v>
      </c>
      <c r="L78" s="4">
        <f t="shared" si="55"/>
        <v>503.34792458229924</v>
      </c>
      <c r="M78" s="4">
        <f t="shared" si="55"/>
        <v>455.26361714032623</v>
      </c>
      <c r="N78" s="4">
        <f t="shared" si="55"/>
        <v>414.6896054115731</v>
      </c>
      <c r="O78" s="4">
        <f t="shared" si="55"/>
        <v>380.07603032588855</v>
      </c>
      <c r="P78" s="4">
        <f t="shared" si="55"/>
        <v>350.25955859280225</v>
      </c>
      <c r="Q78" s="4">
        <f t="shared" si="55"/>
        <v>0</v>
      </c>
      <c r="R78" s="4">
        <f t="shared" si="55"/>
        <v>0</v>
      </c>
      <c r="S78" s="4">
        <f t="shared" si="55"/>
        <v>0</v>
      </c>
      <c r="T78" s="4">
        <f t="shared" si="55"/>
        <v>0</v>
      </c>
      <c r="U78" s="4">
        <f t="shared" si="55"/>
        <v>0</v>
      </c>
      <c r="V78" s="4">
        <f t="shared" si="55"/>
        <v>0</v>
      </c>
      <c r="W78" s="4">
        <f t="shared" si="50"/>
        <v>0</v>
      </c>
      <c r="X78" s="4">
        <f t="shared" si="50"/>
        <v>0</v>
      </c>
      <c r="Y78" s="4">
        <f t="shared" si="50"/>
        <v>0</v>
      </c>
      <c r="Z78" s="4">
        <f t="shared" si="50"/>
        <v>0</v>
      </c>
      <c r="AA78" s="4">
        <f t="shared" si="50"/>
        <v>0</v>
      </c>
      <c r="AB78" s="4">
        <f t="shared" si="50"/>
        <v>0</v>
      </c>
      <c r="AC78" s="4">
        <f t="shared" si="50"/>
        <v>0</v>
      </c>
      <c r="AD78" s="4">
        <f t="shared" si="50"/>
        <v>0</v>
      </c>
      <c r="AE78" s="4">
        <f t="shared" si="50"/>
        <v>0</v>
      </c>
      <c r="AF78" s="4">
        <f t="shared" si="50"/>
        <v>0</v>
      </c>
      <c r="AG78" s="4">
        <f t="shared" si="50"/>
        <v>0</v>
      </c>
      <c r="AH78" s="4">
        <f t="shared" si="50"/>
        <v>0</v>
      </c>
      <c r="AI78" s="4">
        <f t="shared" si="50"/>
        <v>0</v>
      </c>
      <c r="AJ78" s="4">
        <f t="shared" si="50"/>
        <v>0</v>
      </c>
      <c r="AK78" s="4">
        <f t="shared" si="50"/>
        <v>0</v>
      </c>
      <c r="AL78" s="4">
        <f t="shared" si="56"/>
        <v>0</v>
      </c>
      <c r="AM78" s="4">
        <f t="shared" si="56"/>
        <v>0</v>
      </c>
      <c r="AN78" s="4">
        <f t="shared" si="56"/>
        <v>0</v>
      </c>
      <c r="AO78" s="4">
        <f t="shared" si="56"/>
        <v>0</v>
      </c>
      <c r="AP78" s="4">
        <f t="shared" si="56"/>
        <v>0</v>
      </c>
      <c r="AQ78" s="4">
        <f t="shared" si="56"/>
        <v>0</v>
      </c>
      <c r="AR78" s="4">
        <f t="shared" si="56"/>
        <v>0</v>
      </c>
      <c r="AS78" s="4">
        <f t="shared" si="56"/>
        <v>0</v>
      </c>
      <c r="AT78" s="4">
        <f t="shared" si="56"/>
        <v>0</v>
      </c>
      <c r="AU78" s="4">
        <f t="shared" si="56"/>
        <v>0</v>
      </c>
      <c r="AV78" s="4">
        <f t="shared" si="56"/>
        <v>0</v>
      </c>
      <c r="AW78" s="4">
        <f t="shared" si="56"/>
        <v>0</v>
      </c>
      <c r="AX78" s="4">
        <f t="shared" si="56"/>
        <v>0</v>
      </c>
      <c r="AY78" s="4">
        <f t="shared" si="57"/>
        <v>0</v>
      </c>
      <c r="AZ78" s="4">
        <f t="shared" si="57"/>
        <v>0</v>
      </c>
      <c r="BA78" s="4">
        <f t="shared" si="57"/>
        <v>0</v>
      </c>
      <c r="BB78" s="4">
        <f t="shared" si="57"/>
        <v>0</v>
      </c>
      <c r="BC78" s="4">
        <f t="shared" si="57"/>
        <v>0</v>
      </c>
      <c r="BD78" s="4">
        <f t="shared" si="57"/>
        <v>0</v>
      </c>
      <c r="BF78" s="2">
        <f t="shared" si="58"/>
        <v>7000</v>
      </c>
      <c r="BG78" s="1">
        <f t="shared" si="62"/>
        <v>0</v>
      </c>
      <c r="BH78" s="1">
        <f t="shared" si="62"/>
        <v>0</v>
      </c>
      <c r="BI78" s="1">
        <f t="shared" si="62"/>
        <v>0</v>
      </c>
      <c r="BJ78" s="1">
        <f t="shared" si="62"/>
        <v>0</v>
      </c>
      <c r="BK78" s="1">
        <f t="shared" si="62"/>
        <v>0</v>
      </c>
      <c r="BL78" s="1">
        <f t="shared" si="62"/>
        <v>0</v>
      </c>
      <c r="BM78" s="1">
        <f t="shared" si="62"/>
        <v>0</v>
      </c>
      <c r="BN78" s="1">
        <f t="shared" si="62"/>
        <v>0</v>
      </c>
      <c r="BO78" s="1">
        <f t="shared" si="62"/>
        <v>0</v>
      </c>
      <c r="BP78" s="1">
        <f t="shared" si="62"/>
        <v>0</v>
      </c>
      <c r="BQ78" s="1">
        <f t="shared" si="62"/>
        <v>0</v>
      </c>
      <c r="BR78" s="1">
        <f t="shared" si="62"/>
        <v>0</v>
      </c>
      <c r="BS78" s="1">
        <f t="shared" si="62"/>
        <v>0</v>
      </c>
      <c r="BT78" s="1">
        <f t="shared" si="62"/>
        <v>0</v>
      </c>
      <c r="BU78" s="1">
        <f t="shared" si="62"/>
        <v>0</v>
      </c>
      <c r="BV78" s="1">
        <f t="shared" si="62"/>
        <v>0</v>
      </c>
      <c r="BW78" s="1">
        <f t="shared" si="63"/>
        <v>0</v>
      </c>
      <c r="BX78" s="1">
        <f t="shared" si="51"/>
        <v>0</v>
      </c>
      <c r="BY78" s="1">
        <f t="shared" si="51"/>
        <v>0</v>
      </c>
      <c r="BZ78" s="1">
        <f t="shared" si="51"/>
        <v>0</v>
      </c>
      <c r="CA78" s="1">
        <f t="shared" si="51"/>
        <v>0</v>
      </c>
      <c r="CB78" s="1">
        <f t="shared" si="51"/>
        <v>0</v>
      </c>
      <c r="CC78" s="1">
        <f t="shared" si="51"/>
        <v>0</v>
      </c>
      <c r="CD78" s="1">
        <f t="shared" si="51"/>
        <v>0</v>
      </c>
      <c r="CE78" s="1">
        <f t="shared" si="51"/>
        <v>0</v>
      </c>
      <c r="CF78" s="1">
        <f t="shared" si="51"/>
        <v>0</v>
      </c>
      <c r="CG78" s="1">
        <f t="shared" si="51"/>
        <v>0</v>
      </c>
      <c r="CH78" s="1">
        <f t="shared" si="51"/>
        <v>0</v>
      </c>
      <c r="CI78" s="1">
        <f t="shared" si="51"/>
        <v>0</v>
      </c>
      <c r="CJ78" s="1">
        <f t="shared" si="51"/>
        <v>0</v>
      </c>
      <c r="CK78" s="1">
        <f t="shared" si="51"/>
        <v>0</v>
      </c>
      <c r="CL78" s="1">
        <f t="shared" si="51"/>
        <v>0</v>
      </c>
      <c r="CM78" s="1">
        <f t="shared" si="60"/>
        <v>0</v>
      </c>
      <c r="CN78" s="1">
        <f t="shared" si="60"/>
        <v>0</v>
      </c>
      <c r="CO78" s="1">
        <f t="shared" si="60"/>
        <v>0</v>
      </c>
      <c r="CP78" s="1">
        <f t="shared" si="60"/>
        <v>0</v>
      </c>
      <c r="CQ78" s="1">
        <f t="shared" si="60"/>
        <v>0</v>
      </c>
      <c r="CR78" s="1">
        <f t="shared" si="60"/>
        <v>0</v>
      </c>
      <c r="CS78" s="1">
        <f t="shared" si="60"/>
        <v>0</v>
      </c>
      <c r="CT78" s="1">
        <f t="shared" si="60"/>
        <v>0</v>
      </c>
      <c r="CU78" s="1">
        <f t="shared" si="60"/>
        <v>0</v>
      </c>
      <c r="CV78" s="1">
        <f t="shared" si="60"/>
        <v>0</v>
      </c>
      <c r="CW78" s="1">
        <f t="shared" si="60"/>
        <v>0</v>
      </c>
      <c r="CX78" s="1">
        <f t="shared" si="60"/>
        <v>0</v>
      </c>
      <c r="CY78" s="1">
        <f t="shared" si="60"/>
        <v>0</v>
      </c>
      <c r="CZ78" s="1">
        <f t="shared" si="60"/>
        <v>0</v>
      </c>
      <c r="DA78" s="1">
        <f t="shared" si="60"/>
        <v>0</v>
      </c>
      <c r="DB78" s="1">
        <f t="shared" si="60"/>
        <v>0</v>
      </c>
      <c r="DC78" s="1">
        <f t="shared" si="52"/>
        <v>0</v>
      </c>
      <c r="DD78" s="1">
        <f t="shared" si="52"/>
        <v>0</v>
      </c>
    </row>
    <row r="79" spans="1:108" x14ac:dyDescent="0.2">
      <c r="A79">
        <v>7500</v>
      </c>
      <c r="B79" s="1">
        <f t="shared" si="61"/>
        <v>0</v>
      </c>
      <c r="C79" s="3">
        <f>B79-B80</f>
        <v>0</v>
      </c>
      <c r="D79" s="5">
        <f t="shared" si="53"/>
        <v>39.243710902019899</v>
      </c>
      <c r="F79" s="1">
        <f t="shared" si="54"/>
        <v>0</v>
      </c>
      <c r="G79" s="4">
        <f t="shared" si="55"/>
        <v>1052.7131552990436</v>
      </c>
      <c r="H79" s="4">
        <f t="shared" si="55"/>
        <v>898.21537014025807</v>
      </c>
      <c r="I79" s="4">
        <f t="shared" si="55"/>
        <v>778.54826569291356</v>
      </c>
      <c r="J79" s="4">
        <f t="shared" si="55"/>
        <v>683.73588343718143</v>
      </c>
      <c r="K79" s="4">
        <f t="shared" si="55"/>
        <v>607.16010618345433</v>
      </c>
      <c r="L79" s="4">
        <f t="shared" si="55"/>
        <v>544.28725719634406</v>
      </c>
      <c r="M79" s="4">
        <f t="shared" si="55"/>
        <v>491.92465440234764</v>
      </c>
      <c r="N79" s="4">
        <f t="shared" si="55"/>
        <v>447.76937326072209</v>
      </c>
      <c r="O79" s="4">
        <f t="shared" si="55"/>
        <v>410.12497366965687</v>
      </c>
      <c r="P79" s="4">
        <f t="shared" si="55"/>
        <v>377.71833717597104</v>
      </c>
      <c r="Q79" s="4">
        <f t="shared" si="55"/>
        <v>0</v>
      </c>
      <c r="R79" s="4">
        <f t="shared" si="55"/>
        <v>0</v>
      </c>
      <c r="S79" s="4">
        <f t="shared" si="55"/>
        <v>0</v>
      </c>
      <c r="T79" s="4">
        <f t="shared" si="55"/>
        <v>0</v>
      </c>
      <c r="U79" s="4">
        <f t="shared" si="55"/>
        <v>0</v>
      </c>
      <c r="V79" s="4">
        <f t="shared" si="55"/>
        <v>0</v>
      </c>
      <c r="W79" s="4">
        <f t="shared" si="50"/>
        <v>0</v>
      </c>
      <c r="X79" s="4">
        <f t="shared" si="50"/>
        <v>0</v>
      </c>
      <c r="Y79" s="4">
        <f t="shared" si="50"/>
        <v>0</v>
      </c>
      <c r="Z79" s="4">
        <f t="shared" si="50"/>
        <v>0</v>
      </c>
      <c r="AA79" s="4">
        <f t="shared" si="50"/>
        <v>0</v>
      </c>
      <c r="AB79" s="4">
        <f t="shared" si="50"/>
        <v>0</v>
      </c>
      <c r="AC79" s="4">
        <f t="shared" si="50"/>
        <v>0</v>
      </c>
      <c r="AD79" s="4">
        <f t="shared" si="50"/>
        <v>0</v>
      </c>
      <c r="AE79" s="4">
        <f t="shared" si="50"/>
        <v>0</v>
      </c>
      <c r="AF79" s="4">
        <f t="shared" si="50"/>
        <v>0</v>
      </c>
      <c r="AG79" s="4">
        <f t="shared" si="50"/>
        <v>0</v>
      </c>
      <c r="AH79" s="4">
        <f t="shared" si="50"/>
        <v>0</v>
      </c>
      <c r="AI79" s="4">
        <f t="shared" si="50"/>
        <v>0</v>
      </c>
      <c r="AJ79" s="4">
        <f t="shared" si="50"/>
        <v>0</v>
      </c>
      <c r="AK79" s="4">
        <f t="shared" si="50"/>
        <v>0</v>
      </c>
      <c r="AL79" s="4">
        <f t="shared" si="56"/>
        <v>0</v>
      </c>
      <c r="AM79" s="4">
        <f t="shared" si="56"/>
        <v>0</v>
      </c>
      <c r="AN79" s="4">
        <f t="shared" si="56"/>
        <v>0</v>
      </c>
      <c r="AO79" s="4">
        <f t="shared" si="56"/>
        <v>0</v>
      </c>
      <c r="AP79" s="4">
        <f t="shared" si="56"/>
        <v>0</v>
      </c>
      <c r="AQ79" s="4">
        <f t="shared" si="56"/>
        <v>0</v>
      </c>
      <c r="AR79" s="4">
        <f t="shared" si="56"/>
        <v>0</v>
      </c>
      <c r="AS79" s="4">
        <f t="shared" si="56"/>
        <v>0</v>
      </c>
      <c r="AT79" s="4">
        <f t="shared" si="56"/>
        <v>0</v>
      </c>
      <c r="AU79" s="4">
        <f t="shared" si="56"/>
        <v>0</v>
      </c>
      <c r="AV79" s="4">
        <f t="shared" si="56"/>
        <v>0</v>
      </c>
      <c r="AW79" s="4">
        <f t="shared" si="56"/>
        <v>0</v>
      </c>
      <c r="AX79" s="4">
        <f t="shared" si="56"/>
        <v>0</v>
      </c>
      <c r="AY79" s="4">
        <f t="shared" si="57"/>
        <v>0</v>
      </c>
      <c r="AZ79" s="4">
        <f t="shared" si="57"/>
        <v>0</v>
      </c>
      <c r="BA79" s="4">
        <f t="shared" si="57"/>
        <v>0</v>
      </c>
      <c r="BB79" s="4">
        <f t="shared" si="57"/>
        <v>0</v>
      </c>
      <c r="BC79" s="4">
        <f t="shared" si="57"/>
        <v>0</v>
      </c>
      <c r="BD79" s="4">
        <f t="shared" si="57"/>
        <v>0</v>
      </c>
      <c r="BF79" s="2">
        <f t="shared" si="58"/>
        <v>7500</v>
      </c>
      <c r="BG79" s="1">
        <f t="shared" si="62"/>
        <v>0</v>
      </c>
      <c r="BH79" s="1">
        <f t="shared" si="62"/>
        <v>0</v>
      </c>
      <c r="BI79" s="1">
        <f t="shared" si="62"/>
        <v>0</v>
      </c>
      <c r="BJ79" s="1">
        <f t="shared" si="62"/>
        <v>0</v>
      </c>
      <c r="BK79" s="1">
        <f t="shared" si="62"/>
        <v>0</v>
      </c>
      <c r="BL79" s="1">
        <f t="shared" si="62"/>
        <v>0</v>
      </c>
      <c r="BM79" s="1">
        <f t="shared" si="62"/>
        <v>0</v>
      </c>
      <c r="BN79" s="1">
        <f t="shared" si="62"/>
        <v>0</v>
      </c>
      <c r="BO79" s="1">
        <f t="shared" si="62"/>
        <v>0</v>
      </c>
      <c r="BP79" s="1">
        <f t="shared" si="62"/>
        <v>0</v>
      </c>
      <c r="BQ79" s="1">
        <f t="shared" si="62"/>
        <v>0</v>
      </c>
      <c r="BR79" s="1">
        <f t="shared" si="62"/>
        <v>0</v>
      </c>
      <c r="BS79" s="1">
        <f t="shared" si="62"/>
        <v>0</v>
      </c>
      <c r="BT79" s="1">
        <f t="shared" si="62"/>
        <v>0</v>
      </c>
      <c r="BU79" s="1">
        <f t="shared" si="62"/>
        <v>0</v>
      </c>
      <c r="BV79" s="1">
        <f t="shared" si="62"/>
        <v>0</v>
      </c>
      <c r="BW79" s="1">
        <f t="shared" si="63"/>
        <v>0</v>
      </c>
      <c r="BX79" s="1">
        <f t="shared" si="51"/>
        <v>0</v>
      </c>
      <c r="BY79" s="1">
        <f t="shared" si="51"/>
        <v>0</v>
      </c>
      <c r="BZ79" s="1">
        <f t="shared" si="51"/>
        <v>0</v>
      </c>
      <c r="CA79" s="1">
        <f t="shared" si="51"/>
        <v>0</v>
      </c>
      <c r="CB79" s="1">
        <f t="shared" si="51"/>
        <v>0</v>
      </c>
      <c r="CC79" s="1">
        <f t="shared" si="51"/>
        <v>0</v>
      </c>
      <c r="CD79" s="1">
        <f t="shared" si="51"/>
        <v>0</v>
      </c>
      <c r="CE79" s="1">
        <f t="shared" si="51"/>
        <v>0</v>
      </c>
      <c r="CF79" s="1">
        <f t="shared" si="51"/>
        <v>0</v>
      </c>
      <c r="CG79" s="1">
        <f t="shared" si="51"/>
        <v>0</v>
      </c>
      <c r="CH79" s="1">
        <f t="shared" si="51"/>
        <v>0</v>
      </c>
      <c r="CI79" s="1">
        <f t="shared" si="51"/>
        <v>0</v>
      </c>
      <c r="CJ79" s="1">
        <f t="shared" si="51"/>
        <v>0</v>
      </c>
      <c r="CK79" s="1">
        <f t="shared" si="51"/>
        <v>0</v>
      </c>
      <c r="CL79" s="1">
        <f t="shared" si="51"/>
        <v>0</v>
      </c>
      <c r="CM79" s="1">
        <f t="shared" si="60"/>
        <v>0</v>
      </c>
      <c r="CN79" s="1">
        <f t="shared" si="60"/>
        <v>0</v>
      </c>
      <c r="CO79" s="1">
        <f t="shared" si="60"/>
        <v>0</v>
      </c>
      <c r="CP79" s="1">
        <f t="shared" si="60"/>
        <v>0</v>
      </c>
      <c r="CQ79" s="1">
        <f t="shared" si="60"/>
        <v>0</v>
      </c>
      <c r="CR79" s="1">
        <f t="shared" si="60"/>
        <v>0</v>
      </c>
      <c r="CS79" s="1">
        <f t="shared" si="60"/>
        <v>0</v>
      </c>
      <c r="CT79" s="1">
        <f t="shared" si="60"/>
        <v>0</v>
      </c>
      <c r="CU79" s="1">
        <f t="shared" si="60"/>
        <v>0</v>
      </c>
      <c r="CV79" s="1">
        <f t="shared" si="60"/>
        <v>0</v>
      </c>
      <c r="CW79" s="1">
        <f t="shared" si="60"/>
        <v>0</v>
      </c>
      <c r="CX79" s="1">
        <f t="shared" si="60"/>
        <v>0</v>
      </c>
      <c r="CY79" s="1">
        <f t="shared" si="60"/>
        <v>0</v>
      </c>
      <c r="CZ79" s="1">
        <f t="shared" si="60"/>
        <v>0</v>
      </c>
      <c r="DA79" s="1">
        <f t="shared" si="60"/>
        <v>0</v>
      </c>
      <c r="DB79" s="1">
        <f t="shared" si="60"/>
        <v>0</v>
      </c>
      <c r="DC79" s="1">
        <f t="shared" si="52"/>
        <v>0</v>
      </c>
      <c r="DD79" s="1">
        <f t="shared" si="52"/>
        <v>0</v>
      </c>
    </row>
    <row r="80" spans="1:108" x14ac:dyDescent="0.2">
      <c r="A80">
        <v>8000</v>
      </c>
      <c r="B80" s="1">
        <f t="shared" si="61"/>
        <v>0</v>
      </c>
      <c r="C80" s="3">
        <f>B80-B81</f>
        <v>0</v>
      </c>
      <c r="D80" s="5">
        <f t="shared" si="53"/>
        <v>40.269889323899484</v>
      </c>
      <c r="F80" s="1">
        <f t="shared" si="54"/>
        <v>0</v>
      </c>
      <c r="G80" s="4">
        <f t="shared" si="55"/>
        <v>1141.6278488097485</v>
      </c>
      <c r="H80" s="4">
        <f t="shared" si="55"/>
        <v>973.12883890762282</v>
      </c>
      <c r="I80" s="4">
        <f t="shared" si="55"/>
        <v>842.68297095912931</v>
      </c>
      <c r="J80" s="4">
        <f t="shared" si="55"/>
        <v>739.39100436586091</v>
      </c>
      <c r="K80" s="4">
        <f t="shared" si="55"/>
        <v>656.01929003358384</v>
      </c>
      <c r="L80" s="4">
        <f t="shared" si="55"/>
        <v>587.61146688099006</v>
      </c>
      <c r="M80" s="4">
        <f t="shared" si="55"/>
        <v>530.67701935504556</v>
      </c>
      <c r="N80" s="4">
        <f t="shared" si="55"/>
        <v>482.69836014745272</v>
      </c>
      <c r="O80" s="4">
        <f t="shared" si="55"/>
        <v>441.82120482670342</v>
      </c>
      <c r="P80" s="4">
        <f t="shared" si="55"/>
        <v>406.65428451568295</v>
      </c>
      <c r="Q80" s="4">
        <f t="shared" si="55"/>
        <v>0</v>
      </c>
      <c r="R80" s="4">
        <f t="shared" si="55"/>
        <v>0</v>
      </c>
      <c r="S80" s="4">
        <f t="shared" si="55"/>
        <v>0</v>
      </c>
      <c r="T80" s="4">
        <f t="shared" si="55"/>
        <v>0</v>
      </c>
      <c r="U80" s="4">
        <f t="shared" si="55"/>
        <v>0</v>
      </c>
      <c r="V80" s="4">
        <f t="shared" si="55"/>
        <v>0</v>
      </c>
      <c r="W80" s="4">
        <f t="shared" si="50"/>
        <v>0</v>
      </c>
      <c r="X80" s="4">
        <f t="shared" si="50"/>
        <v>0</v>
      </c>
      <c r="Y80" s="4">
        <f t="shared" si="50"/>
        <v>0</v>
      </c>
      <c r="Z80" s="4">
        <f t="shared" si="50"/>
        <v>0</v>
      </c>
      <c r="AA80" s="4">
        <f t="shared" si="50"/>
        <v>0</v>
      </c>
      <c r="AB80" s="4">
        <f t="shared" si="50"/>
        <v>0</v>
      </c>
      <c r="AC80" s="4">
        <f t="shared" si="50"/>
        <v>0</v>
      </c>
      <c r="AD80" s="4">
        <f t="shared" si="50"/>
        <v>0</v>
      </c>
      <c r="AE80" s="4">
        <f t="shared" si="50"/>
        <v>0</v>
      </c>
      <c r="AF80" s="4">
        <f t="shared" si="50"/>
        <v>0</v>
      </c>
      <c r="AG80" s="4">
        <f t="shared" si="50"/>
        <v>0</v>
      </c>
      <c r="AH80" s="4">
        <f t="shared" si="50"/>
        <v>0</v>
      </c>
      <c r="AI80" s="4">
        <f t="shared" si="50"/>
        <v>0</v>
      </c>
      <c r="AJ80" s="4">
        <f t="shared" si="50"/>
        <v>0</v>
      </c>
      <c r="AK80" s="4">
        <f t="shared" si="50"/>
        <v>0</v>
      </c>
      <c r="AL80" s="4">
        <f t="shared" si="56"/>
        <v>0</v>
      </c>
      <c r="AM80" s="4">
        <f t="shared" si="56"/>
        <v>0</v>
      </c>
      <c r="AN80" s="4">
        <f t="shared" si="56"/>
        <v>0</v>
      </c>
      <c r="AO80" s="4">
        <f t="shared" si="56"/>
        <v>0</v>
      </c>
      <c r="AP80" s="4">
        <f t="shared" si="56"/>
        <v>0</v>
      </c>
      <c r="AQ80" s="4">
        <f t="shared" si="56"/>
        <v>0</v>
      </c>
      <c r="AR80" s="4">
        <f t="shared" si="56"/>
        <v>0</v>
      </c>
      <c r="AS80" s="4">
        <f t="shared" si="56"/>
        <v>0</v>
      </c>
      <c r="AT80" s="4">
        <f t="shared" si="56"/>
        <v>0</v>
      </c>
      <c r="AU80" s="4">
        <f t="shared" si="56"/>
        <v>0</v>
      </c>
      <c r="AV80" s="4">
        <f t="shared" si="56"/>
        <v>0</v>
      </c>
      <c r="AW80" s="4">
        <f t="shared" si="56"/>
        <v>0</v>
      </c>
      <c r="AX80" s="4">
        <f t="shared" si="56"/>
        <v>0</v>
      </c>
      <c r="AY80" s="4">
        <f t="shared" si="57"/>
        <v>0</v>
      </c>
      <c r="AZ80" s="4">
        <f t="shared" si="57"/>
        <v>0</v>
      </c>
      <c r="BA80" s="4">
        <f t="shared" si="57"/>
        <v>0</v>
      </c>
      <c r="BB80" s="4">
        <f t="shared" si="57"/>
        <v>0</v>
      </c>
      <c r="BC80" s="4">
        <f t="shared" si="57"/>
        <v>0</v>
      </c>
      <c r="BD80" s="4">
        <f t="shared" si="57"/>
        <v>0</v>
      </c>
      <c r="BF80" s="2">
        <f t="shared" si="58"/>
        <v>8000</v>
      </c>
      <c r="BG80" s="1">
        <f t="shared" si="62"/>
        <v>0</v>
      </c>
      <c r="BH80" s="1">
        <f t="shared" si="62"/>
        <v>0</v>
      </c>
      <c r="BI80" s="1">
        <f t="shared" si="62"/>
        <v>0</v>
      </c>
      <c r="BJ80" s="1">
        <f t="shared" si="62"/>
        <v>0</v>
      </c>
      <c r="BK80" s="1">
        <f t="shared" si="62"/>
        <v>0</v>
      </c>
      <c r="BL80" s="1">
        <f t="shared" si="62"/>
        <v>0</v>
      </c>
      <c r="BM80" s="1">
        <f t="shared" si="62"/>
        <v>0</v>
      </c>
      <c r="BN80" s="1">
        <f t="shared" si="62"/>
        <v>0</v>
      </c>
      <c r="BO80" s="1">
        <f t="shared" si="62"/>
        <v>0</v>
      </c>
      <c r="BP80" s="1">
        <f t="shared" si="62"/>
        <v>0</v>
      </c>
      <c r="BQ80" s="1">
        <f t="shared" si="62"/>
        <v>0</v>
      </c>
      <c r="BR80" s="1">
        <f t="shared" si="62"/>
        <v>0</v>
      </c>
      <c r="BS80" s="1">
        <f t="shared" si="62"/>
        <v>0</v>
      </c>
      <c r="BT80" s="1">
        <f t="shared" si="62"/>
        <v>0</v>
      </c>
      <c r="BU80" s="1">
        <f t="shared" si="62"/>
        <v>0</v>
      </c>
      <c r="BV80" s="1">
        <f t="shared" si="62"/>
        <v>0</v>
      </c>
      <c r="BW80" s="1">
        <f t="shared" si="63"/>
        <v>0</v>
      </c>
      <c r="BX80" s="1">
        <f t="shared" si="51"/>
        <v>0</v>
      </c>
      <c r="BY80" s="1">
        <f t="shared" si="51"/>
        <v>0</v>
      </c>
      <c r="BZ80" s="1">
        <f t="shared" si="51"/>
        <v>0</v>
      </c>
      <c r="CA80" s="1">
        <f t="shared" si="51"/>
        <v>0</v>
      </c>
      <c r="CB80" s="1">
        <f t="shared" si="51"/>
        <v>0</v>
      </c>
      <c r="CC80" s="1">
        <f t="shared" si="51"/>
        <v>0</v>
      </c>
      <c r="CD80" s="1">
        <f t="shared" si="51"/>
        <v>0</v>
      </c>
      <c r="CE80" s="1">
        <f t="shared" si="51"/>
        <v>0</v>
      </c>
      <c r="CF80" s="1">
        <f t="shared" si="51"/>
        <v>0</v>
      </c>
      <c r="CG80" s="1">
        <f t="shared" si="51"/>
        <v>0</v>
      </c>
      <c r="CH80" s="1">
        <f t="shared" si="51"/>
        <v>0</v>
      </c>
      <c r="CI80" s="1">
        <f t="shared" si="51"/>
        <v>0</v>
      </c>
      <c r="CJ80" s="1">
        <f t="shared" si="51"/>
        <v>0</v>
      </c>
      <c r="CK80" s="1">
        <f t="shared" si="51"/>
        <v>0</v>
      </c>
      <c r="CL80" s="1">
        <f t="shared" si="51"/>
        <v>0</v>
      </c>
      <c r="CM80" s="1">
        <f t="shared" si="60"/>
        <v>0</v>
      </c>
      <c r="CN80" s="1">
        <f t="shared" si="60"/>
        <v>0</v>
      </c>
      <c r="CO80" s="1">
        <f t="shared" si="60"/>
        <v>0</v>
      </c>
      <c r="CP80" s="1">
        <f t="shared" si="60"/>
        <v>0</v>
      </c>
      <c r="CQ80" s="1">
        <f t="shared" si="60"/>
        <v>0</v>
      </c>
      <c r="CR80" s="1">
        <f t="shared" si="60"/>
        <v>0</v>
      </c>
      <c r="CS80" s="1">
        <f t="shared" si="60"/>
        <v>0</v>
      </c>
      <c r="CT80" s="1">
        <f t="shared" si="60"/>
        <v>0</v>
      </c>
      <c r="CU80" s="1">
        <f t="shared" si="60"/>
        <v>0</v>
      </c>
      <c r="CV80" s="1">
        <f t="shared" si="60"/>
        <v>0</v>
      </c>
      <c r="CW80" s="1">
        <f t="shared" si="60"/>
        <v>0</v>
      </c>
      <c r="CX80" s="1">
        <f t="shared" si="60"/>
        <v>0</v>
      </c>
      <c r="CY80" s="1">
        <f t="shared" si="60"/>
        <v>0</v>
      </c>
      <c r="CZ80" s="1">
        <f t="shared" si="60"/>
        <v>0</v>
      </c>
      <c r="DA80" s="1">
        <f t="shared" si="60"/>
        <v>0</v>
      </c>
      <c r="DB80" s="1">
        <f t="shared" si="60"/>
        <v>0</v>
      </c>
      <c r="DC80" s="1">
        <f t="shared" si="52"/>
        <v>0</v>
      </c>
      <c r="DD80" s="1">
        <f t="shared" si="52"/>
        <v>0</v>
      </c>
    </row>
    <row r="81" spans="2:112" s="18" customFormat="1" x14ac:dyDescent="0.2">
      <c r="B81" s="17"/>
      <c r="C81" s="19"/>
      <c r="D81" s="21"/>
      <c r="E81" s="17"/>
      <c r="F81" s="17"/>
      <c r="G81" s="15"/>
      <c r="H81" s="15"/>
      <c r="I81" s="15"/>
      <c r="BF81" s="22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17"/>
      <c r="CF81" s="17"/>
      <c r="CG81" s="17"/>
      <c r="CH81" s="17"/>
      <c r="CI81" s="17"/>
      <c r="CJ81" s="17"/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CY81" s="17"/>
      <c r="CZ81" s="17"/>
      <c r="DA81" s="17"/>
      <c r="DB81" s="17"/>
      <c r="DC81" s="17"/>
      <c r="DD81" s="17"/>
      <c r="DE81" s="17"/>
      <c r="DF81" s="17"/>
      <c r="DG81" s="17"/>
      <c r="DH81" s="17"/>
    </row>
    <row r="82" spans="2:112" x14ac:dyDescent="0.2">
      <c r="C82" s="3"/>
      <c r="E82" s="1"/>
      <c r="F82" s="1"/>
    </row>
    <row r="83" spans="2:112" x14ac:dyDescent="0.2">
      <c r="C83" s="3"/>
      <c r="E83" s="1"/>
      <c r="F83" s="1"/>
    </row>
    <row r="84" spans="2:112" x14ac:dyDescent="0.2">
      <c r="C84" s="3"/>
      <c r="E84" s="1"/>
      <c r="F84" s="1"/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CAM2</vt:lpstr>
      <vt:lpstr>Exceedance results</vt:lpstr>
      <vt:lpstr>IR contributions</vt:lpstr>
      <vt:lpstr>IR per year</vt:lpstr>
      <vt:lpstr>Model</vt:lpstr>
    </vt:vector>
  </TitlesOfParts>
  <Company>Shell Information Services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Shell Global Solutions</dc:creator>
  <cp:lastModifiedBy>Nemanja Pavlović</cp:lastModifiedBy>
  <dcterms:created xsi:type="dcterms:W3CDTF">2001-02-02T08:47:42Z</dcterms:created>
  <dcterms:modified xsi:type="dcterms:W3CDTF">2016-07-21T19:25:02Z</dcterms:modified>
</cp:coreProperties>
</file>